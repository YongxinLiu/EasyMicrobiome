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xWindow="31890" windowHeight="21100" activeTab="1"/>
  </bookViews>
  <sheets>
    <sheet name="summary" sheetId="4" r:id="rId1"/>
    <sheet name="metadata" sheetId="8" r:id="rId2"/>
    <sheet name="compare" sheetId="2" r:id="rId3"/>
    <sheet name="venn"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Yong-Xin Liu</author>
  </authors>
  <commentList>
    <comment ref="A4" authorId="0">
      <text>
        <r>
          <rPr>
            <b/>
            <sz val="9"/>
            <rFont val="宋体"/>
            <charset val="134"/>
          </rPr>
          <t>Yong-Xin Liu:</t>
        </r>
        <r>
          <rPr>
            <sz val="9"/>
            <rFont val="宋体"/>
            <charset val="134"/>
          </rPr>
          <t xml:space="preserve">
样品名，必须以字母开头，可包括数字，名称唯一，推荐使用大小字或数字间隔的驼峰式写法方便阅读</t>
        </r>
      </text>
    </comment>
    <comment ref="C4" authorId="0">
      <text>
        <r>
          <rPr>
            <b/>
            <sz val="9"/>
            <rFont val="宋体"/>
            <charset val="134"/>
          </rPr>
          <t>Yong-Xin Liu:</t>
        </r>
        <r>
          <rPr>
            <sz val="9"/>
            <rFont val="宋体"/>
            <charset val="134"/>
          </rPr>
          <t xml:space="preserve">
样品分组名，要包括实验所有变量的组合</t>
        </r>
      </text>
    </comment>
  </commentList>
</comments>
</file>

<file path=xl/sharedStrings.xml><?xml version="1.0" encoding="utf-8"?>
<sst xmlns="http://schemas.openxmlformats.org/spreadsheetml/2006/main" count="810" uniqueCount="187">
  <si>
    <t>项目基本信息</t>
  </si>
  <si>
    <t>注：请根据项目具体情况修改以下三个表格中黄色部分，可参考表头批注信息和下面参考模板。</t>
  </si>
  <si>
    <t>1. 项目基本信息summary</t>
  </si>
  <si>
    <t>注：仅可修改下表中黄色部，项目编号为当前日期。</t>
  </si>
  <si>
    <t>项目名称</t>
  </si>
  <si>
    <t>title</t>
  </si>
  <si>
    <t>不同品种在不同磷条件下微生物宏基因组差异比较</t>
  </si>
  <si>
    <t>实验负责人</t>
  </si>
  <si>
    <t>partner</t>
  </si>
  <si>
    <t>中国农业科学院基因组所刘永鑫组荀佳妮</t>
  </si>
  <si>
    <t>项目编号</t>
  </si>
  <si>
    <t>project</t>
  </si>
  <si>
    <t>项目计划</t>
  </si>
  <si>
    <t>period</t>
  </si>
  <si>
    <t>20251021~20261021</t>
  </si>
  <si>
    <t>实验目的</t>
  </si>
  <si>
    <t>aim</t>
  </si>
  <si>
    <t>分析磷胁迫条件下，某作物不同品种根系微生物组的结构变化，通过对比对磷胁迫耐受程度不同的作物品种的微生物组中物种丰度的差异，鉴定潜在解磷促生微生物，为揭示根系微生物组在帮助植物营养吸收中提供候选菌种。</t>
  </si>
  <si>
    <t>实验设计</t>
  </si>
  <si>
    <t>design</t>
  </si>
  <si>
    <t>种植的作物品种含有磷高效利用品种和低效品种3类，每小组6个生物学重复，种植条件选择了正常磷条件和低磷土条件2种，种植8周后采集了根系和根际土2个部分样本测定宏基因组，共收集3x6x2x2=72个样品。</t>
  </si>
  <si>
    <t>2. 实验材料、条件说明material</t>
  </si>
  <si>
    <t>注：请添写材料、条件的缩写(必须在字母开头，只允许字母和数字组合)，及中英文详细描述。红色区域内容不可修改。实验涉及的信息可增加行、列填写完整。</t>
  </si>
  <si>
    <t>缩写</t>
  </si>
  <si>
    <t>英文描述</t>
  </si>
  <si>
    <t>中文描述</t>
  </si>
  <si>
    <t>附录</t>
  </si>
  <si>
    <t>ID</t>
  </si>
  <si>
    <t>Description</t>
  </si>
  <si>
    <t>ChineseDescription</t>
  </si>
  <si>
    <t>Appendix</t>
  </si>
  <si>
    <t>参考模板</t>
  </si>
  <si>
    <t>Os</t>
  </si>
  <si>
    <t>Oryza Sativa</t>
  </si>
  <si>
    <t>水稻拉丁名</t>
  </si>
  <si>
    <t>物种</t>
  </si>
  <si>
    <t>Lp</t>
  </si>
  <si>
    <t>low phosphate</t>
  </si>
  <si>
    <t>低磷土壤</t>
  </si>
  <si>
    <t>土壤类型</t>
  </si>
  <si>
    <t>Np</t>
  </si>
  <si>
    <t>normal phosphate</t>
  </si>
  <si>
    <t>正常磷土壤</t>
  </si>
  <si>
    <t>Wt</t>
  </si>
  <si>
    <t>Wild type</t>
  </si>
  <si>
    <t>基因野生型</t>
  </si>
  <si>
    <t>品种/基因型</t>
  </si>
  <si>
    <t>Oe</t>
  </si>
  <si>
    <t>gene over expression</t>
  </si>
  <si>
    <t>基因过表达型</t>
  </si>
  <si>
    <t>Ko</t>
  </si>
  <si>
    <t>gene knock out</t>
  </si>
  <si>
    <t>基因敲除</t>
  </si>
  <si>
    <t>R</t>
  </si>
  <si>
    <t>root</t>
  </si>
  <si>
    <t>根</t>
  </si>
  <si>
    <t>取样部位</t>
  </si>
  <si>
    <t>Rs</t>
  </si>
  <si>
    <t>Rhizosphere soil</t>
  </si>
  <si>
    <t>根际土</t>
  </si>
  <si>
    <t>S</t>
  </si>
  <si>
    <t>bulk soil</t>
  </si>
  <si>
    <t>土体土壤</t>
  </si>
  <si>
    <t>Sz</t>
  </si>
  <si>
    <t>Shengzhen</t>
  </si>
  <si>
    <t>深圳基因组所农场</t>
  </si>
  <si>
    <t>取样地点</t>
  </si>
  <si>
    <t>E</t>
  </si>
  <si>
    <t>enriched</t>
  </si>
  <si>
    <t>上升</t>
  </si>
  <si>
    <t>丰度变化类型</t>
  </si>
  <si>
    <t>D</t>
  </si>
  <si>
    <t>depleted</t>
  </si>
  <si>
    <t>下降</t>
  </si>
  <si>
    <t>实验设计样品元数据metadata</t>
  </si>
  <si>
    <t>注：表头中高亮列名不可修改，其他自定义行可添加或删除，GroupID组名为所有可变条件相连，SampleID样品名为组名+replication重复数字，组名以数字结尾则+r+replication重复数字。</t>
  </si>
  <si>
    <t>SampleID</t>
  </si>
  <si>
    <t>SampleIDOld</t>
  </si>
  <si>
    <t>GroupID</t>
  </si>
  <si>
    <t>genotype</t>
  </si>
  <si>
    <t>solitype</t>
  </si>
  <si>
    <t>compartment</t>
  </si>
  <si>
    <t>replicate</t>
  </si>
  <si>
    <t>site</t>
  </si>
  <si>
    <t>batch</t>
  </si>
  <si>
    <t>species</t>
  </si>
  <si>
    <t>date</t>
  </si>
  <si>
    <t>Sequencing</t>
  </si>
  <si>
    <t>Platform</t>
  </si>
  <si>
    <t>latitude_longitude</t>
  </si>
  <si>
    <t>WT1-R1</t>
  </si>
  <si>
    <t>BGI</t>
  </si>
  <si>
    <t>MGISEQ-T7</t>
  </si>
  <si>
    <t>22.36 N 114.29 E</t>
  </si>
  <si>
    <t>WT1-R2</t>
  </si>
  <si>
    <t>WT1-R3</t>
  </si>
  <si>
    <t>WT1-R4</t>
  </si>
  <si>
    <t>WT1-R5</t>
  </si>
  <si>
    <t>WT1-R6</t>
  </si>
  <si>
    <t>KO1-R1</t>
  </si>
  <si>
    <t>KO1-R2</t>
  </si>
  <si>
    <t>KO1-R3</t>
  </si>
  <si>
    <t>KO1-R4</t>
  </si>
  <si>
    <t>KO1-R5</t>
  </si>
  <si>
    <t>KO1-R6</t>
  </si>
  <si>
    <t>OE1-R1</t>
  </si>
  <si>
    <t>OE1-R2</t>
  </si>
  <si>
    <t>OE1-R3</t>
  </si>
  <si>
    <t>OE1-R4</t>
  </si>
  <si>
    <t>OE1-R5</t>
  </si>
  <si>
    <t>OE1-R6</t>
  </si>
  <si>
    <t>WT1-Rs1</t>
  </si>
  <si>
    <t>WT1-Rs2</t>
  </si>
  <si>
    <t>WT1-Rs3</t>
  </si>
  <si>
    <t>WT1-Rs4</t>
  </si>
  <si>
    <t>WT1-Rs5</t>
  </si>
  <si>
    <t>WT1-Rs6</t>
  </si>
  <si>
    <t>KO1-Rs1</t>
  </si>
  <si>
    <t>KO1-Rs2</t>
  </si>
  <si>
    <t>KO1-Rs3</t>
  </si>
  <si>
    <t>KO1-Rs4</t>
  </si>
  <si>
    <t>KO1-Rs5</t>
  </si>
  <si>
    <t>KO1-Rs6</t>
  </si>
  <si>
    <t>OE1-Rs1</t>
  </si>
  <si>
    <t>OE1-Rs2</t>
  </si>
  <si>
    <t>OE1-Rs3</t>
  </si>
  <si>
    <t>OE1-Rs4</t>
  </si>
  <si>
    <t>OE1-Rs5</t>
  </si>
  <si>
    <t>OE1-Rs6</t>
  </si>
  <si>
    <t>实验组间比较列表</t>
  </si>
  <si>
    <t>注：组间比较只允许两组间比较，最好添写该比较组的目的Aim</t>
  </si>
  <si>
    <t>GroupID实验组</t>
  </si>
  <si>
    <t>组1</t>
  </si>
  <si>
    <t>组2</t>
  </si>
  <si>
    <t>Group1</t>
  </si>
  <si>
    <t>Group2</t>
  </si>
  <si>
    <t>Aim</t>
  </si>
  <si>
    <t>KoNpR</t>
  </si>
  <si>
    <t>WtNpR</t>
  </si>
  <si>
    <t>在正常磷条件下材料基因突变体与对照根部差异菌和功能</t>
  </si>
  <si>
    <t>OeNpR</t>
  </si>
  <si>
    <t>在正常磷条件材料基因过表达与对照根部差异菌和功能</t>
  </si>
  <si>
    <t>KoNpRs</t>
  </si>
  <si>
    <t>WtNpRs</t>
  </si>
  <si>
    <t>在正常磷条件材料基因过表达与对照根际土差异菌和功能</t>
  </si>
  <si>
    <t>OeNpRs</t>
  </si>
  <si>
    <t>在正常磷条件材料基因过表达与对照际土差异菌和功能</t>
  </si>
  <si>
    <t>在正常磷条件对照中植物根富集的微生物</t>
  </si>
  <si>
    <t>KoLpR</t>
  </si>
  <si>
    <t>WtLpR</t>
  </si>
  <si>
    <t>在低磷条件下材料基因突变体与对照根部差异菌和功能</t>
  </si>
  <si>
    <t>OeLpR</t>
  </si>
  <si>
    <t>在低磷条件材料基因过表达与对照根部差异菌和功能</t>
  </si>
  <si>
    <t>KoLpRs</t>
  </si>
  <si>
    <t>WtLpRs</t>
  </si>
  <si>
    <t>在低磷条件材料基因过表达与对照根际土差异菌和功能</t>
  </si>
  <si>
    <t>OeLpRs</t>
  </si>
  <si>
    <t>在低磷条件材料基因过表达与对照际土差异菌和功能</t>
  </si>
  <si>
    <t>在低磷条件对照中植物根富集的微生物</t>
  </si>
  <si>
    <t>WT</t>
  </si>
  <si>
    <t>Soil</t>
  </si>
  <si>
    <t>相对土壤，那些种类的OTU在植物根或根际富集或稀少</t>
  </si>
  <si>
    <t>KO</t>
  </si>
  <si>
    <t>相对于野生型，KO基因敲除材料中显著变化的菌种类</t>
  </si>
  <si>
    <t>OE</t>
  </si>
  <si>
    <t>相对于野生型，OE基因过表达材料中显著变化的菌种类</t>
  </si>
  <si>
    <t>OE比KO显著变化的菌，可进一步分析此组中差异菌与OE vs WT中变化否一致</t>
  </si>
  <si>
    <t>组间共有或特有比较</t>
  </si>
  <si>
    <t>注：支持2-5组间进行比较，没有可不填，最后写清比较意义</t>
  </si>
  <si>
    <t>Group3</t>
  </si>
  <si>
    <t>Group4</t>
  </si>
  <si>
    <t>Group5</t>
  </si>
  <si>
    <t>KoNpRvsWtNpR_D</t>
  </si>
  <si>
    <t>OeNpRvsWtNpR_E</t>
  </si>
  <si>
    <t>在正常磷条件下，比较根部该基因缺失时下调，基因过表达上调，即潜在受该基因正调控的细菌种类</t>
  </si>
  <si>
    <t>KoNpRvsWtNpR_E</t>
  </si>
  <si>
    <t>OeNpRvsWtNpR_D</t>
  </si>
  <si>
    <t>在正常磷条件下，比较根部该基因缺失时下调，基因过表达上调，即潜在受该基因负调控的细菌种类</t>
  </si>
  <si>
    <t>KoNpRsvsWtNpRs_D</t>
  </si>
  <si>
    <t>OeNpRsvsWtNpRs_E</t>
  </si>
  <si>
    <t>在正常磷条件下，比较根际土该基因缺失时下调，基因过表达上调，即潜在受该基因正调控的细菌种类</t>
  </si>
  <si>
    <t>KoNpRsvsWtNpRs_E</t>
  </si>
  <si>
    <t>OeNpRsvsWtNpRs_D</t>
  </si>
  <si>
    <t>在正常磷条件下，比较根际土该基因缺失时下调，基因过表达上调，即潜在受该基因负调控的细菌种类</t>
  </si>
  <si>
    <t>比较在根和根际土中均一致趋势保守正调控的细菌种类</t>
  </si>
  <si>
    <t>比较在根和根际土中均一致趋势保守负调控的细菌种类</t>
  </si>
  <si>
    <t>说明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</si>
</sst>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s>
  <fonts count="33">
    <font>
      <sz val="11"/>
      <color theme="1"/>
      <name val="等线"/>
      <charset val="134"/>
      <scheme val="minor"/>
    </font>
    <font>
      <b/>
      <sz val="11"/>
      <color theme="1"/>
      <name val="等线"/>
      <charset val="134"/>
      <scheme val="minor"/>
    </font>
    <font>
      <sz val="24"/>
      <color theme="1"/>
      <name val="等线"/>
      <charset val="134"/>
      <scheme val="minor"/>
    </font>
    <font>
      <sz val="11"/>
      <color theme="1"/>
      <name val="等线"/>
      <charset val="134"/>
      <scheme val="minor"/>
    </font>
    <font>
      <sz val="11"/>
      <color rgb="FF000000"/>
      <name val="等线"/>
      <charset val="134"/>
    </font>
    <font>
      <sz val="24"/>
      <color theme="1"/>
      <name val="等线"/>
      <charset val="134"/>
      <scheme val="minor"/>
    </font>
    <font>
      <sz val="11"/>
      <color rgb="FF000000"/>
      <name val="等线"/>
      <charset val="134"/>
    </font>
    <font>
      <sz val="16"/>
      <color theme="1"/>
      <name val="等线"/>
      <charset val="134"/>
      <scheme val="minor"/>
    </font>
    <font>
      <sz val="16"/>
      <color theme="1"/>
      <name val="等线"/>
      <charset val="134"/>
      <scheme val="minor"/>
    </font>
    <font>
      <sz val="11"/>
      <color rgb="FF9C6500"/>
      <name val="等线"/>
      <charset val="134"/>
      <scheme val="minor"/>
    </font>
    <font>
      <b/>
      <sz val="11"/>
      <color rgb="FF9C0006"/>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134"/>
      <scheme val="minor"/>
    </font>
    <font>
      <sz val="11"/>
      <color theme="0"/>
      <name val="等线"/>
      <charset val="0"/>
      <scheme val="minor"/>
    </font>
    <font>
      <sz val="11"/>
      <color theme="1"/>
      <name val="等线"/>
      <charset val="0"/>
      <scheme val="minor"/>
    </font>
    <font>
      <sz val="12"/>
      <color theme="1"/>
      <name val="等线"/>
      <charset val="134"/>
      <scheme val="minor"/>
    </font>
    <font>
      <sz val="9"/>
      <name val="宋体"/>
      <charset val="134"/>
    </font>
    <font>
      <b/>
      <sz val="9"/>
      <name val="宋体"/>
      <charset val="134"/>
    </font>
  </fonts>
  <fills count="34">
    <fill>
      <patternFill patternType="none"/>
    </fill>
    <fill>
      <patternFill patternType="gray125"/>
    </fill>
    <fill>
      <patternFill patternType="solid">
        <fgColor rgb="FFFFFF00"/>
        <bgColor indexed="64"/>
      </patternFill>
    </fill>
    <fill>
      <patternFill patternType="solid">
        <fgColor rgb="FFFFEB9C"/>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5"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6" borderId="5" applyNumberFormat="0" applyAlignment="0" applyProtection="0">
      <alignment vertical="center"/>
    </xf>
    <xf numFmtId="0" fontId="21" fillId="7" borderId="6" applyNumberFormat="0" applyAlignment="0" applyProtection="0">
      <alignment vertical="center"/>
    </xf>
    <xf numFmtId="0" fontId="22" fillId="7" borderId="5" applyNumberFormat="0" applyAlignment="0" applyProtection="0">
      <alignment vertical="center"/>
    </xf>
    <xf numFmtId="0" fontId="23" fillId="8"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9" borderId="0" applyNumberFormat="0" applyBorder="0" applyAlignment="0" applyProtection="0">
      <alignment vertical="center"/>
    </xf>
    <xf numFmtId="0" fontId="27" fillId="4" borderId="0" applyNumberFormat="0" applyBorder="0" applyAlignment="0" applyProtection="0">
      <alignment vertical="center"/>
    </xf>
    <xf numFmtId="0" fontId="9" fillId="3"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30" fillId="0" borderId="0"/>
  </cellStyleXfs>
  <cellXfs count="28">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lignment vertical="center"/>
    </xf>
    <xf numFmtId="0" fontId="3" fillId="0" borderId="0" xfId="0" applyFont="1" applyAlignment="1">
      <alignment horizontal="left" vertical="center"/>
    </xf>
    <xf numFmtId="0" fontId="4" fillId="0" borderId="0" xfId="0" applyFont="1">
      <alignment vertical="center"/>
    </xf>
    <xf numFmtId="0" fontId="0" fillId="0" borderId="1" xfId="0" applyBorder="1">
      <alignment vertical="center"/>
    </xf>
    <xf numFmtId="0" fontId="3" fillId="0" borderId="1" xfId="0" applyFont="1" applyBorder="1">
      <alignment vertical="center"/>
    </xf>
    <xf numFmtId="0" fontId="5" fillId="0" borderId="0" xfId="0" applyFont="1"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6" fillId="0" borderId="0" xfId="0" applyFont="1">
      <alignment vertical="center"/>
    </xf>
    <xf numFmtId="0" fontId="6" fillId="0" borderId="0" xfId="0" applyFont="1" applyAlignment="1">
      <alignment horizontal="left" vertical="center"/>
    </xf>
    <xf numFmtId="0" fontId="5" fillId="0" borderId="0" xfId="0" applyFont="1" applyAlignment="1">
      <alignment horizontal="left" vertical="center"/>
    </xf>
    <xf numFmtId="0" fontId="3" fillId="2" borderId="0" xfId="0" applyFont="1" applyFill="1" applyAlignment="1">
      <alignment horizontal="left" vertical="center"/>
    </xf>
    <xf numFmtId="0" fontId="1" fillId="2" borderId="0" xfId="0" applyFont="1" applyFill="1" applyAlignment="1">
      <alignment horizontal="left" vertical="center"/>
    </xf>
    <xf numFmtId="176" fontId="3" fillId="0" borderId="0" xfId="0" applyNumberFormat="1" applyFont="1" applyAlignment="1">
      <alignment horizontal="left" vertical="center"/>
    </xf>
    <xf numFmtId="14" fontId="0" fillId="0" borderId="0" xfId="0" applyNumberFormat="1">
      <alignment vertical="center"/>
    </xf>
    <xf numFmtId="0" fontId="5"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1" fillId="0" borderId="1" xfId="0" applyFont="1" applyBorder="1">
      <alignment vertical="center"/>
    </xf>
    <xf numFmtId="0" fontId="9" fillId="3" borderId="1" xfId="24" applyBorder="1" applyAlignment="1">
      <alignment horizontal="center" vertical="center"/>
    </xf>
    <xf numFmtId="0" fontId="9" fillId="3" borderId="1" xfId="24" applyBorder="1" applyAlignment="1">
      <alignment vertical="center" wrapText="1"/>
    </xf>
    <xf numFmtId="0" fontId="3" fillId="0" borderId="0" xfId="0" applyFont="1" applyAlignment="1"/>
    <xf numFmtId="0" fontId="0" fillId="0" borderId="0" xfId="0" applyAlignment="1"/>
    <xf numFmtId="0" fontId="10" fillId="4" borderId="1" xfId="23" applyFont="1" applyBorder="1">
      <alignment vertical="center"/>
    </xf>
    <xf numFmtId="0" fontId="6" fillId="0" borderId="1" xfId="0" applyFont="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9" dbFileVersion="0">
    <open main="41" threadCnt="1"/>
    <sheetInfos>
      <sheetInfo cellCmpFml="0" sheetStid="4">
        <open threadCnt="1"/>
      </sheetInfo>
      <sheetInfo cellCmpFml="9" sheetStid="8">
        <open main="11" threadCnt="1"/>
      </sheetInfo>
      <sheetInfo cellCmpFml="0" sheetStid="2">
        <open main="1" threadCnt="1"/>
      </sheetInfo>
      <sheetInfo cellCmpFml="0" sheetStid="3">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www.wps.cn/officeDocument/2023/relationships/woinfos" Target="woinfos.xml"/><Relationship Id="rId11" Type="http://schemas.openxmlformats.org/officeDocument/2006/relationships/styles" Target="styles.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6"/>
  <sheetViews>
    <sheetView topLeftCell="C29" workbookViewId="0">
      <selection activeCell="C29" sqref="C29"/>
    </sheetView>
  </sheetViews>
  <sheetFormatPr defaultColWidth="9" defaultRowHeight="14.25"/>
  <cols>
    <col min="1" max="1" width="17.4" customWidth="1"/>
    <col min="2" max="2" width="29.3333333333333" customWidth="1"/>
    <col min="3" max="3" width="56.7333333333333" customWidth="1"/>
    <col min="4" max="4" width="20.2666666666667" customWidth="1"/>
    <col min="5" max="9" width="8.6" customWidth="1"/>
  </cols>
  <sheetData>
    <row r="1" ht="30" spans="1:11">
      <c r="A1" s="2" t="s">
        <v>0</v>
      </c>
      <c r="B1" s="2"/>
      <c r="C1" s="2"/>
      <c r="D1" s="18"/>
      <c r="E1" s="18"/>
    </row>
    <row r="2" spans="1:11">
      <c r="A2" s="10" t="s">
        <v>1</v>
      </c>
      <c r="B2" s="10"/>
      <c r="C2" s="10"/>
    </row>
    <row r="4" ht="20.25" spans="1:11">
      <c r="A4" s="19" t="s">
        <v>2</v>
      </c>
      <c r="B4" s="19"/>
      <c r="C4" s="19"/>
      <c r="D4" s="20"/>
      <c r="E4" s="20"/>
    </row>
    <row r="5" spans="1:11">
      <c r="A5" t="s">
        <v>3</v>
      </c>
    </row>
    <row r="6" spans="1:11">
      <c r="A6" s="21" t="s">
        <v>4</v>
      </c>
      <c r="B6" s="21" t="s">
        <v>5</v>
      </c>
      <c r="C6" s="22" t="s">
        <v>6</v>
      </c>
    </row>
    <row r="7" spans="1:11">
      <c r="A7" s="21" t="s">
        <v>7</v>
      </c>
      <c r="B7" s="21" t="s">
        <v>8</v>
      </c>
      <c r="C7" s="22" t="s">
        <v>9</v>
      </c>
    </row>
    <row r="8" spans="1:11">
      <c r="A8" s="21" t="s">
        <v>10</v>
      </c>
      <c r="B8" s="21" t="s">
        <v>11</v>
      </c>
      <c r="C8" s="22">
        <v>20251021</v>
      </c>
    </row>
    <row r="9" spans="1:11">
      <c r="A9" s="21" t="s">
        <v>12</v>
      </c>
      <c r="B9" s="21" t="s">
        <v>13</v>
      </c>
      <c r="C9" s="22" t="s">
        <v>14</v>
      </c>
    </row>
    <row r="10" ht="57" spans="1:11">
      <c r="A10" s="21" t="s">
        <v>15</v>
      </c>
      <c r="B10" s="21" t="s">
        <v>16</v>
      </c>
      <c r="C10" s="23" t="s">
        <v>17</v>
      </c>
    </row>
    <row r="11" ht="57" spans="1:11">
      <c r="A11" s="21" t="s">
        <v>18</v>
      </c>
      <c r="B11" s="21" t="s">
        <v>19</v>
      </c>
      <c r="C11" s="23" t="s">
        <v>20</v>
      </c>
    </row>
    <row r="13" ht="20.25" spans="1:11">
      <c r="A13" s="19" t="s">
        <v>21</v>
      </c>
      <c r="B13" s="19"/>
      <c r="C13" s="19"/>
      <c r="K13" s="24"/>
    </row>
    <row r="14" spans="1:11">
      <c r="A14" t="s">
        <v>22</v>
      </c>
      <c r="K14" s="25"/>
    </row>
    <row r="15" spans="1:11">
      <c r="A15" s="26" t="s">
        <v>23</v>
      </c>
      <c r="B15" s="26" t="s">
        <v>24</v>
      </c>
      <c r="C15" s="26" t="s">
        <v>25</v>
      </c>
      <c r="D15" s="26" t="s">
        <v>26</v>
      </c>
      <c r="K15" s="25"/>
    </row>
    <row r="16" spans="1:11">
      <c r="A16" s="26" t="s">
        <v>27</v>
      </c>
      <c r="B16" s="26" t="s">
        <v>28</v>
      </c>
      <c r="C16" s="26" t="s">
        <v>29</v>
      </c>
      <c r="D16" s="26" t="s">
        <v>30</v>
      </c>
      <c r="K16" s="25"/>
    </row>
    <row r="17" spans="1:11">
      <c r="A17" s="7"/>
      <c r="B17" s="7"/>
      <c r="C17" s="7"/>
      <c r="D17" s="6"/>
      <c r="K17" s="25"/>
    </row>
    <row r="18" spans="1:11">
      <c r="A18" s="7"/>
      <c r="B18" s="7"/>
      <c r="C18" s="7"/>
      <c r="D18" s="6"/>
      <c r="K18" s="25"/>
    </row>
    <row r="19" spans="1:11">
      <c r="A19" s="7"/>
      <c r="B19" s="7"/>
      <c r="C19" s="7"/>
      <c r="D19" s="6"/>
      <c r="K19" s="25"/>
    </row>
    <row r="20" spans="1:11">
      <c r="A20" s="7"/>
      <c r="B20" s="7"/>
      <c r="C20" s="7"/>
      <c r="D20" s="6"/>
      <c r="K20" s="25"/>
    </row>
    <row r="21" spans="1:11">
      <c r="A21" s="7"/>
      <c r="B21" s="7"/>
      <c r="C21" s="7"/>
      <c r="D21" s="6"/>
      <c r="K21" s="25"/>
    </row>
    <row r="22" spans="1:11">
      <c r="A22" s="7"/>
      <c r="B22" s="7"/>
      <c r="C22" s="7"/>
      <c r="D22" s="6"/>
      <c r="K22" s="25"/>
    </row>
    <row r="23" spans="1:11">
      <c r="A23" s="7"/>
      <c r="B23" s="7"/>
      <c r="C23" s="7"/>
      <c r="D23" s="6"/>
    </row>
    <row r="24" spans="1:11">
      <c r="A24" s="7" t="s">
        <v>31</v>
      </c>
      <c r="B24" s="7"/>
      <c r="C24" s="7"/>
      <c r="D24" s="6"/>
      <c r="K24" s="25"/>
    </row>
    <row r="25" spans="1:11">
      <c r="A25" s="7" t="s">
        <v>32</v>
      </c>
      <c r="B25" s="7" t="s">
        <v>33</v>
      </c>
      <c r="C25" s="7" t="s">
        <v>34</v>
      </c>
      <c r="D25" s="6" t="s">
        <v>35</v>
      </c>
      <c r="K25" s="25"/>
    </row>
    <row r="26" spans="1:11">
      <c r="A26" s="7" t="s">
        <v>36</v>
      </c>
      <c r="B26" s="7" t="s">
        <v>37</v>
      </c>
      <c r="C26" s="7" t="s">
        <v>38</v>
      </c>
      <c r="D26" s="6" t="s">
        <v>39</v>
      </c>
      <c r="K26" s="25"/>
    </row>
    <row r="27" spans="1:11">
      <c r="A27" s="7" t="s">
        <v>40</v>
      </c>
      <c r="B27" s="7" t="s">
        <v>41</v>
      </c>
      <c r="C27" s="7" t="s">
        <v>42</v>
      </c>
      <c r="D27" s="6" t="s">
        <v>39</v>
      </c>
      <c r="K27" s="25"/>
    </row>
    <row r="28" spans="1:11">
      <c r="A28" s="7" t="s">
        <v>43</v>
      </c>
      <c r="B28" s="27" t="s">
        <v>44</v>
      </c>
      <c r="C28" s="7" t="s">
        <v>45</v>
      </c>
      <c r="D28" s="6" t="s">
        <v>46</v>
      </c>
      <c r="K28" s="25"/>
    </row>
    <row r="29" spans="1:11">
      <c r="A29" s="27" t="s">
        <v>47</v>
      </c>
      <c r="B29" s="7" t="s">
        <v>48</v>
      </c>
      <c r="C29" s="7" t="s">
        <v>49</v>
      </c>
      <c r="D29" s="6"/>
      <c r="K29" s="25"/>
    </row>
    <row r="30" spans="1:11">
      <c r="A30" s="7" t="s">
        <v>50</v>
      </c>
      <c r="B30" s="7" t="s">
        <v>51</v>
      </c>
      <c r="C30" s="5" t="s">
        <v>52</v>
      </c>
      <c r="D30" s="6" t="s">
        <v>46</v>
      </c>
      <c r="K30" s="25"/>
    </row>
    <row r="31" spans="1:11">
      <c r="A31" s="7" t="s">
        <v>53</v>
      </c>
      <c r="B31" s="7" t="s">
        <v>54</v>
      </c>
      <c r="C31" s="7" t="s">
        <v>55</v>
      </c>
      <c r="D31" s="6" t="s">
        <v>56</v>
      </c>
      <c r="K31" s="25"/>
    </row>
    <row r="32" spans="1:11">
      <c r="A32" s="27" t="s">
        <v>57</v>
      </c>
      <c r="B32" s="27" t="s">
        <v>58</v>
      </c>
      <c r="C32" s="27" t="s">
        <v>59</v>
      </c>
      <c r="D32" s="6"/>
    </row>
    <row r="33" spans="1:11">
      <c r="A33" s="7" t="s">
        <v>60</v>
      </c>
      <c r="B33" s="7" t="s">
        <v>61</v>
      </c>
      <c r="C33" s="7" t="s">
        <v>62</v>
      </c>
      <c r="D33" s="6" t="s">
        <v>56</v>
      </c>
    </row>
    <row r="34" spans="1:11">
      <c r="A34" s="7" t="s">
        <v>63</v>
      </c>
      <c r="B34" s="7" t="s">
        <v>64</v>
      </c>
      <c r="C34" s="7" t="s">
        <v>65</v>
      </c>
      <c r="D34" s="6" t="s">
        <v>66</v>
      </c>
      <c r="K34" s="25"/>
    </row>
    <row r="35" spans="1:11">
      <c r="A35" s="6" t="s">
        <v>67</v>
      </c>
      <c r="B35" s="6" t="s">
        <v>68</v>
      </c>
      <c r="C35" s="7" t="s">
        <v>69</v>
      </c>
      <c r="D35" s="6" t="s">
        <v>70</v>
      </c>
    </row>
    <row r="36" spans="1:11">
      <c r="A36" s="6" t="s">
        <v>71</v>
      </c>
      <c r="B36" s="6" t="s">
        <v>72</v>
      </c>
      <c r="C36" s="7" t="s">
        <v>73</v>
      </c>
      <c r="D36" s="6" t="s">
        <v>70</v>
      </c>
    </row>
  </sheetData>
  <sheetProtection formatCells="0" formatColumns="0" formatRows="0" insertRows="0" insertColumns="0" insertHyperlinks="0" deleteColumns="0" deleteRows="0" sort="0" autoFilter="0" pivotTables="0"/>
  <mergeCells count="4">
    <mergeCell ref="A1:C1"/>
    <mergeCell ref="A2:C2"/>
    <mergeCell ref="A4:C4"/>
    <mergeCell ref="A13:C1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6"/>
  <sheetViews>
    <sheetView tabSelected="1" zoomScale="130" zoomScaleNormal="130" workbookViewId="0">
      <selection activeCell="M11" sqref="M11"/>
    </sheetView>
  </sheetViews>
  <sheetFormatPr defaultColWidth="8.66666666666667" defaultRowHeight="13.8" customHeight="1"/>
  <cols>
    <col min="1" max="2" width="12.8" customWidth="1"/>
    <col min="3" max="3" width="11.7333333333333" customWidth="1"/>
    <col min="4" max="4" width="9.4" customWidth="1"/>
    <col min="5" max="5" width="7.86666666666667" customWidth="1"/>
    <col min="6" max="6" width="4.66666666666667" customWidth="1"/>
    <col min="7" max="7" width="8.53333333333333" customWidth="1"/>
    <col min="8" max="8" width="5" customWidth="1"/>
    <col min="9" max="9" width="6.06666666666667" customWidth="1"/>
    <col min="10" max="10" width="9.6" customWidth="1"/>
    <col min="11" max="11" width="9.06666666666667" customWidth="1"/>
    <col min="12" max="14" width="9.6" customWidth="1"/>
    <col min="15" max="15" width="16.3333333333333" customWidth="1"/>
  </cols>
  <sheetData>
    <row r="1" s="4" customFormat="1" ht="30" spans="1:15">
      <c r="A1" s="13" t="s">
        <v>74</v>
      </c>
      <c r="B1" s="13"/>
      <c r="F1" s="13"/>
      <c r="H1" s="13"/>
      <c r="O1" s="13"/>
    </row>
    <row r="2" s="4" customFormat="1" ht="14.25" spans="1:15">
      <c r="A2" s="14" t="s">
        <v>75</v>
      </c>
      <c r="B2" s="14"/>
      <c r="E2" s="9"/>
      <c r="K2" s="9"/>
    </row>
    <row r="3" s="4" customFormat="1" ht="14.25" spans="1:15">
      <c r="E3" s="9"/>
      <c r="K3" s="9"/>
    </row>
    <row r="4" customHeight="1" spans="1:15">
      <c r="A4" s="15" t="s">
        <v>76</v>
      </c>
      <c r="B4" s="15" t="s">
        <v>77</v>
      </c>
      <c r="C4" s="15" t="s">
        <v>78</v>
      </c>
      <c r="D4" s="1" t="s">
        <v>79</v>
      </c>
      <c r="E4" s="9" t="s">
        <v>80</v>
      </c>
      <c r="F4" s="9" t="s">
        <v>81</v>
      </c>
      <c r="G4" s="9" t="s">
        <v>82</v>
      </c>
      <c r="H4" s="9" t="s">
        <v>83</v>
      </c>
      <c r="I4" s="9" t="s">
        <v>84</v>
      </c>
      <c r="J4" s="9" t="s">
        <v>85</v>
      </c>
      <c r="K4" s="15" t="s">
        <v>86</v>
      </c>
      <c r="L4" s="15" t="s">
        <v>87</v>
      </c>
      <c r="M4" s="15" t="s">
        <v>88</v>
      </c>
      <c r="N4" s="15" t="s">
        <v>89</v>
      </c>
      <c r="O4" s="15" t="s">
        <v>28</v>
      </c>
    </row>
    <row r="5" customHeight="1" spans="1:15">
      <c r="A5" s="3" t="str">
        <f>C5&amp;G5</f>
        <v>WtNpR1</v>
      </c>
      <c r="B5" s="3" t="s">
        <v>90</v>
      </c>
      <c r="C5" s="3" t="str">
        <f>D5&amp;E5&amp;F5</f>
        <v>WtNpR</v>
      </c>
      <c r="D5" t="s">
        <v>43</v>
      </c>
      <c r="E5" t="s">
        <v>40</v>
      </c>
      <c r="F5" s="4" t="s">
        <v>53</v>
      </c>
      <c r="G5" s="4">
        <v>1</v>
      </c>
      <c r="H5" s="4" t="s">
        <v>63</v>
      </c>
      <c r="I5" s="4">
        <v>1</v>
      </c>
      <c r="J5" s="16" t="s">
        <v>32</v>
      </c>
      <c r="K5" s="17">
        <v>45901</v>
      </c>
      <c r="L5" t="s">
        <v>91</v>
      </c>
      <c r="M5" s="16" t="s">
        <v>92</v>
      </c>
      <c r="N5" s="16" t="s">
        <v>93</v>
      </c>
      <c r="O5" s="4" t="str">
        <f t="shared" ref="O5:O40" si="0">A5</f>
        <v>WtNpR1</v>
      </c>
    </row>
    <row r="6" customHeight="1" spans="1:15">
      <c r="A6" s="3" t="str">
        <f t="shared" ref="A6:B22" si="1">C6&amp;G6</f>
        <v>WtNpR2</v>
      </c>
      <c r="B6" s="3" t="s">
        <v>94</v>
      </c>
      <c r="C6" s="3" t="str">
        <f t="shared" ref="C6:C40" si="2">D6&amp;E6&amp;F6</f>
        <v>WtNpR</v>
      </c>
      <c r="D6" t="s">
        <v>43</v>
      </c>
      <c r="E6" t="s">
        <v>40</v>
      </c>
      <c r="F6" s="4" t="s">
        <v>53</v>
      </c>
      <c r="G6" s="4">
        <v>2</v>
      </c>
      <c r="H6" s="4" t="s">
        <v>63</v>
      </c>
      <c r="I6" s="4">
        <v>1</v>
      </c>
      <c r="J6" s="16" t="s">
        <v>32</v>
      </c>
      <c r="K6" s="17">
        <v>45901</v>
      </c>
      <c r="L6" t="s">
        <v>91</v>
      </c>
      <c r="M6" s="16" t="s">
        <v>92</v>
      </c>
      <c r="N6" s="16" t="s">
        <v>93</v>
      </c>
      <c r="O6" s="4" t="str">
        <f t="shared" si="0"/>
        <v>WtNpR2</v>
      </c>
    </row>
    <row r="7" customHeight="1" spans="1:15">
      <c r="A7" s="3" t="str">
        <f t="shared" si="1"/>
        <v>WtNpR3</v>
      </c>
      <c r="B7" s="3" t="s">
        <v>95</v>
      </c>
      <c r="C7" s="3" t="str">
        <f t="shared" si="2"/>
        <v>WtNpR</v>
      </c>
      <c r="D7" t="s">
        <v>43</v>
      </c>
      <c r="E7" t="s">
        <v>40</v>
      </c>
      <c r="F7" s="4" t="s">
        <v>53</v>
      </c>
      <c r="G7" s="4">
        <v>3</v>
      </c>
      <c r="H7" s="4" t="s">
        <v>63</v>
      </c>
      <c r="I7" s="4">
        <v>1</v>
      </c>
      <c r="J7" s="16" t="s">
        <v>32</v>
      </c>
      <c r="K7" s="17">
        <v>45901</v>
      </c>
      <c r="L7" t="s">
        <v>91</v>
      </c>
      <c r="M7" s="16" t="s">
        <v>92</v>
      </c>
      <c r="N7" s="16" t="s">
        <v>93</v>
      </c>
      <c r="O7" s="4" t="str">
        <f t="shared" si="0"/>
        <v>WtNpR3</v>
      </c>
    </row>
    <row r="8" customHeight="1" spans="1:15">
      <c r="A8" s="3" t="str">
        <f t="shared" si="1"/>
        <v>WtNpR4</v>
      </c>
      <c r="B8" s="3" t="s">
        <v>96</v>
      </c>
      <c r="C8" s="3" t="str">
        <f t="shared" si="2"/>
        <v>WtNpR</v>
      </c>
      <c r="D8" t="s">
        <v>43</v>
      </c>
      <c r="E8" t="s">
        <v>40</v>
      </c>
      <c r="F8" s="4" t="s">
        <v>53</v>
      </c>
      <c r="G8" s="4">
        <v>4</v>
      </c>
      <c r="H8" s="4" t="s">
        <v>63</v>
      </c>
      <c r="I8" s="4">
        <v>1</v>
      </c>
      <c r="J8" s="16" t="s">
        <v>32</v>
      </c>
      <c r="K8" s="17">
        <v>45901</v>
      </c>
      <c r="L8" t="s">
        <v>91</v>
      </c>
      <c r="M8" s="16" t="s">
        <v>92</v>
      </c>
      <c r="N8" s="16" t="s">
        <v>93</v>
      </c>
      <c r="O8" s="4" t="str">
        <f t="shared" si="0"/>
        <v>WtNpR4</v>
      </c>
    </row>
    <row r="9" customHeight="1" spans="1:15">
      <c r="A9" s="3" t="str">
        <f t="shared" si="1"/>
        <v>WtNpR5</v>
      </c>
      <c r="B9" s="3" t="s">
        <v>97</v>
      </c>
      <c r="C9" s="3" t="str">
        <f t="shared" si="2"/>
        <v>WtNpR</v>
      </c>
      <c r="D9" t="s">
        <v>43</v>
      </c>
      <c r="E9" t="s">
        <v>40</v>
      </c>
      <c r="F9" s="4" t="s">
        <v>53</v>
      </c>
      <c r="G9" s="4">
        <v>5</v>
      </c>
      <c r="H9" s="4" t="s">
        <v>63</v>
      </c>
      <c r="I9" s="4">
        <v>1</v>
      </c>
      <c r="J9" s="16" t="s">
        <v>32</v>
      </c>
      <c r="K9" s="17">
        <v>45901</v>
      </c>
      <c r="L9" t="s">
        <v>91</v>
      </c>
      <c r="M9" s="16" t="s">
        <v>92</v>
      </c>
      <c r="N9" s="16" t="s">
        <v>93</v>
      </c>
      <c r="O9" s="4" t="str">
        <f t="shared" si="0"/>
        <v>WtNpR5</v>
      </c>
    </row>
    <row r="10" customHeight="1" spans="1:15">
      <c r="A10" s="3" t="str">
        <f t="shared" si="1"/>
        <v>WtNpR6</v>
      </c>
      <c r="B10" s="3" t="s">
        <v>98</v>
      </c>
      <c r="C10" s="3" t="str">
        <f t="shared" si="2"/>
        <v>WtNpR</v>
      </c>
      <c r="D10" t="s">
        <v>43</v>
      </c>
      <c r="E10" t="s">
        <v>40</v>
      </c>
      <c r="F10" s="4" t="s">
        <v>53</v>
      </c>
      <c r="G10" s="4">
        <v>6</v>
      </c>
      <c r="H10" s="4" t="s">
        <v>63</v>
      </c>
      <c r="I10" s="4">
        <v>1</v>
      </c>
      <c r="J10" s="16" t="s">
        <v>32</v>
      </c>
      <c r="K10" s="17">
        <v>45901</v>
      </c>
      <c r="L10" t="s">
        <v>91</v>
      </c>
      <c r="M10" s="16" t="s">
        <v>92</v>
      </c>
      <c r="N10" s="16" t="s">
        <v>93</v>
      </c>
      <c r="O10" s="4" t="str">
        <f t="shared" si="0"/>
        <v>WtNpR6</v>
      </c>
    </row>
    <row r="11" customHeight="1" spans="1:15">
      <c r="A11" s="3" t="str">
        <f t="shared" si="1"/>
        <v>KoNpR1</v>
      </c>
      <c r="B11" s="3" t="s">
        <v>99</v>
      </c>
      <c r="C11" s="3" t="str">
        <f t="shared" si="2"/>
        <v>KoNpR</v>
      </c>
      <c r="D11" t="s">
        <v>50</v>
      </c>
      <c r="E11" t="s">
        <v>40</v>
      </c>
      <c r="F11" s="4" t="s">
        <v>53</v>
      </c>
      <c r="G11" s="4">
        <v>1</v>
      </c>
      <c r="H11" s="4" t="s">
        <v>63</v>
      </c>
      <c r="I11" s="4">
        <v>1</v>
      </c>
      <c r="J11" s="16" t="s">
        <v>32</v>
      </c>
      <c r="K11" s="17">
        <v>45901</v>
      </c>
      <c r="L11" t="s">
        <v>91</v>
      </c>
      <c r="M11" s="16" t="s">
        <v>92</v>
      </c>
      <c r="N11" s="16" t="s">
        <v>93</v>
      </c>
      <c r="O11" s="4" t="str">
        <f t="shared" si="0"/>
        <v>KoNpR1</v>
      </c>
    </row>
    <row r="12" customHeight="1" spans="1:15">
      <c r="A12" s="3" t="str">
        <f t="shared" si="1"/>
        <v>KoNpR2</v>
      </c>
      <c r="B12" s="3" t="s">
        <v>100</v>
      </c>
      <c r="C12" s="3" t="str">
        <f t="shared" si="2"/>
        <v>KoNpR</v>
      </c>
      <c r="D12" t="s">
        <v>50</v>
      </c>
      <c r="E12" t="s">
        <v>40</v>
      </c>
      <c r="F12" s="4" t="s">
        <v>53</v>
      </c>
      <c r="G12" s="4">
        <v>2</v>
      </c>
      <c r="H12" s="4" t="s">
        <v>63</v>
      </c>
      <c r="I12" s="4">
        <v>1</v>
      </c>
      <c r="J12" s="16" t="s">
        <v>32</v>
      </c>
      <c r="K12" s="17">
        <v>45901</v>
      </c>
      <c r="L12" t="s">
        <v>91</v>
      </c>
      <c r="M12" s="16" t="s">
        <v>92</v>
      </c>
      <c r="N12" s="16" t="s">
        <v>93</v>
      </c>
      <c r="O12" s="4" t="str">
        <f t="shared" si="0"/>
        <v>KoNpR2</v>
      </c>
    </row>
    <row r="13" customHeight="1" spans="1:15">
      <c r="A13" s="3" t="str">
        <f t="shared" si="1"/>
        <v>KoNpR3</v>
      </c>
      <c r="B13" s="3" t="s">
        <v>101</v>
      </c>
      <c r="C13" s="3" t="str">
        <f t="shared" si="2"/>
        <v>KoNpR</v>
      </c>
      <c r="D13" t="s">
        <v>50</v>
      </c>
      <c r="E13" t="s">
        <v>40</v>
      </c>
      <c r="F13" s="4" t="s">
        <v>53</v>
      </c>
      <c r="G13" s="4">
        <v>3</v>
      </c>
      <c r="H13" s="4" t="s">
        <v>63</v>
      </c>
      <c r="I13" s="4">
        <v>1</v>
      </c>
      <c r="J13" s="16" t="s">
        <v>32</v>
      </c>
      <c r="K13" s="17">
        <v>45901</v>
      </c>
      <c r="L13" t="s">
        <v>91</v>
      </c>
      <c r="M13" s="16" t="s">
        <v>92</v>
      </c>
      <c r="N13" s="16" t="s">
        <v>93</v>
      </c>
      <c r="O13" s="4" t="str">
        <f t="shared" si="0"/>
        <v>KoNpR3</v>
      </c>
    </row>
    <row r="14" customHeight="1" spans="1:15">
      <c r="A14" s="3" t="str">
        <f t="shared" si="1"/>
        <v>KoNpR4</v>
      </c>
      <c r="B14" s="3" t="s">
        <v>102</v>
      </c>
      <c r="C14" s="3" t="str">
        <f t="shared" si="2"/>
        <v>KoNpR</v>
      </c>
      <c r="D14" t="s">
        <v>50</v>
      </c>
      <c r="E14" t="s">
        <v>40</v>
      </c>
      <c r="F14" s="4" t="s">
        <v>53</v>
      </c>
      <c r="G14" s="4">
        <v>4</v>
      </c>
      <c r="H14" s="4" t="s">
        <v>63</v>
      </c>
      <c r="I14" s="4">
        <v>1</v>
      </c>
      <c r="J14" s="16" t="s">
        <v>32</v>
      </c>
      <c r="K14" s="17">
        <v>45901</v>
      </c>
      <c r="L14" t="s">
        <v>91</v>
      </c>
      <c r="M14" s="16" t="s">
        <v>92</v>
      </c>
      <c r="N14" s="16" t="s">
        <v>93</v>
      </c>
      <c r="O14" s="4" t="str">
        <f t="shared" si="0"/>
        <v>KoNpR4</v>
      </c>
    </row>
    <row r="15" customHeight="1" spans="1:15">
      <c r="A15" s="3" t="str">
        <f t="shared" si="1"/>
        <v>KoNpR5</v>
      </c>
      <c r="B15" s="3" t="s">
        <v>103</v>
      </c>
      <c r="C15" s="3" t="str">
        <f t="shared" si="2"/>
        <v>KoNpR</v>
      </c>
      <c r="D15" t="s">
        <v>50</v>
      </c>
      <c r="E15" t="s">
        <v>40</v>
      </c>
      <c r="F15" s="4" t="s">
        <v>53</v>
      </c>
      <c r="G15" s="4">
        <v>5</v>
      </c>
      <c r="H15" s="4" t="s">
        <v>63</v>
      </c>
      <c r="I15" s="4">
        <v>1</v>
      </c>
      <c r="J15" s="16" t="s">
        <v>32</v>
      </c>
      <c r="K15" s="17">
        <v>45901</v>
      </c>
      <c r="L15" t="s">
        <v>91</v>
      </c>
      <c r="M15" s="16" t="s">
        <v>92</v>
      </c>
      <c r="N15" s="16" t="s">
        <v>93</v>
      </c>
      <c r="O15" s="4" t="str">
        <f t="shared" si="0"/>
        <v>KoNpR5</v>
      </c>
    </row>
    <row r="16" customHeight="1" spans="1:15">
      <c r="A16" s="3" t="str">
        <f t="shared" si="1"/>
        <v>KoNpR6</v>
      </c>
      <c r="B16" s="3" t="s">
        <v>104</v>
      </c>
      <c r="C16" s="3" t="str">
        <f t="shared" si="2"/>
        <v>KoNpR</v>
      </c>
      <c r="D16" t="s">
        <v>50</v>
      </c>
      <c r="E16" t="s">
        <v>40</v>
      </c>
      <c r="F16" s="4" t="s">
        <v>53</v>
      </c>
      <c r="G16" s="4">
        <v>6</v>
      </c>
      <c r="H16" s="4" t="s">
        <v>63</v>
      </c>
      <c r="I16" s="4">
        <v>1</v>
      </c>
      <c r="J16" s="16" t="s">
        <v>32</v>
      </c>
      <c r="K16" s="17">
        <v>45901</v>
      </c>
      <c r="L16" t="s">
        <v>91</v>
      </c>
      <c r="M16" s="16" t="s">
        <v>92</v>
      </c>
      <c r="N16" s="16" t="s">
        <v>93</v>
      </c>
      <c r="O16" s="4" t="str">
        <f t="shared" si="0"/>
        <v>KoNpR6</v>
      </c>
    </row>
    <row r="17" customHeight="1" spans="1:15">
      <c r="A17" s="3" t="str">
        <f t="shared" si="1"/>
        <v>OeNpR1</v>
      </c>
      <c r="B17" s="3" t="s">
        <v>105</v>
      </c>
      <c r="C17" s="3" t="str">
        <f t="shared" si="2"/>
        <v>OeNpR</v>
      </c>
      <c r="D17" t="s">
        <v>47</v>
      </c>
      <c r="E17" t="s">
        <v>40</v>
      </c>
      <c r="F17" s="4" t="s">
        <v>53</v>
      </c>
      <c r="G17" s="4">
        <v>1</v>
      </c>
      <c r="H17" s="4" t="s">
        <v>63</v>
      </c>
      <c r="I17" s="4">
        <v>1</v>
      </c>
      <c r="J17" s="16" t="s">
        <v>32</v>
      </c>
      <c r="K17" s="17">
        <v>45901</v>
      </c>
      <c r="L17" t="s">
        <v>91</v>
      </c>
      <c r="M17" s="16" t="s">
        <v>92</v>
      </c>
      <c r="N17" s="16" t="s">
        <v>93</v>
      </c>
      <c r="O17" s="4" t="str">
        <f t="shared" si="0"/>
        <v>OeNpR1</v>
      </c>
    </row>
    <row r="18" customHeight="1" spans="1:15">
      <c r="A18" s="3" t="str">
        <f t="shared" si="1"/>
        <v>OeNpR2</v>
      </c>
      <c r="B18" s="3" t="s">
        <v>106</v>
      </c>
      <c r="C18" s="3" t="str">
        <f t="shared" si="2"/>
        <v>OeNpR</v>
      </c>
      <c r="D18" t="s">
        <v>47</v>
      </c>
      <c r="E18" t="s">
        <v>40</v>
      </c>
      <c r="F18" s="4" t="s">
        <v>53</v>
      </c>
      <c r="G18" s="4">
        <v>2</v>
      </c>
      <c r="H18" s="4" t="s">
        <v>63</v>
      </c>
      <c r="I18" s="4">
        <v>1</v>
      </c>
      <c r="J18" s="16" t="s">
        <v>32</v>
      </c>
      <c r="K18" s="17">
        <v>45901</v>
      </c>
      <c r="L18" t="s">
        <v>91</v>
      </c>
      <c r="M18" s="16" t="s">
        <v>92</v>
      </c>
      <c r="N18" s="16" t="s">
        <v>93</v>
      </c>
      <c r="O18" s="4" t="str">
        <f t="shared" si="0"/>
        <v>OeNpR2</v>
      </c>
    </row>
    <row r="19" customHeight="1" spans="1:15">
      <c r="A19" s="3" t="str">
        <f t="shared" si="1"/>
        <v>OeNpR3</v>
      </c>
      <c r="B19" s="3" t="s">
        <v>107</v>
      </c>
      <c r="C19" s="3" t="str">
        <f t="shared" si="2"/>
        <v>OeNpR</v>
      </c>
      <c r="D19" t="s">
        <v>47</v>
      </c>
      <c r="E19" t="s">
        <v>40</v>
      </c>
      <c r="F19" s="4" t="s">
        <v>53</v>
      </c>
      <c r="G19" s="4">
        <v>3</v>
      </c>
      <c r="H19" s="4" t="s">
        <v>63</v>
      </c>
      <c r="I19" s="4">
        <v>1</v>
      </c>
      <c r="J19" s="16" t="s">
        <v>32</v>
      </c>
      <c r="K19" s="17">
        <v>45901</v>
      </c>
      <c r="L19" t="s">
        <v>91</v>
      </c>
      <c r="M19" s="16" t="s">
        <v>92</v>
      </c>
      <c r="N19" s="16" t="s">
        <v>93</v>
      </c>
      <c r="O19" s="4" t="str">
        <f t="shared" si="0"/>
        <v>OeNpR3</v>
      </c>
    </row>
    <row r="20" customHeight="1" spans="1:15">
      <c r="A20" s="3" t="str">
        <f t="shared" si="1"/>
        <v>OeNpR4</v>
      </c>
      <c r="B20" s="3" t="s">
        <v>108</v>
      </c>
      <c r="C20" s="3" t="str">
        <f t="shared" si="2"/>
        <v>OeNpR</v>
      </c>
      <c r="D20" t="s">
        <v>47</v>
      </c>
      <c r="E20" t="s">
        <v>40</v>
      </c>
      <c r="F20" s="4" t="s">
        <v>53</v>
      </c>
      <c r="G20" s="4">
        <v>4</v>
      </c>
      <c r="H20" s="4" t="s">
        <v>63</v>
      </c>
      <c r="I20" s="4">
        <v>1</v>
      </c>
      <c r="J20" s="16" t="s">
        <v>32</v>
      </c>
      <c r="K20" s="17">
        <v>45901</v>
      </c>
      <c r="L20" t="s">
        <v>91</v>
      </c>
      <c r="M20" s="16" t="s">
        <v>92</v>
      </c>
      <c r="N20" s="16" t="s">
        <v>93</v>
      </c>
      <c r="O20" s="4" t="str">
        <f t="shared" si="0"/>
        <v>OeNpR4</v>
      </c>
    </row>
    <row r="21" customHeight="1" spans="1:15">
      <c r="A21" s="3" t="str">
        <f t="shared" si="1"/>
        <v>OeNpR5</v>
      </c>
      <c r="B21" s="3" t="s">
        <v>109</v>
      </c>
      <c r="C21" s="3" t="str">
        <f t="shared" si="2"/>
        <v>OeNpR</v>
      </c>
      <c r="D21" t="s">
        <v>47</v>
      </c>
      <c r="E21" t="s">
        <v>40</v>
      </c>
      <c r="F21" s="4" t="s">
        <v>53</v>
      </c>
      <c r="G21" s="4">
        <v>5</v>
      </c>
      <c r="H21" s="4" t="s">
        <v>63</v>
      </c>
      <c r="I21" s="4">
        <v>1</v>
      </c>
      <c r="J21" s="16" t="s">
        <v>32</v>
      </c>
      <c r="K21" s="17">
        <v>45901</v>
      </c>
      <c r="L21" t="s">
        <v>91</v>
      </c>
      <c r="M21" s="16" t="s">
        <v>92</v>
      </c>
      <c r="N21" s="16" t="s">
        <v>93</v>
      </c>
      <c r="O21" s="4" t="str">
        <f t="shared" si="0"/>
        <v>OeNpR5</v>
      </c>
    </row>
    <row r="22" customHeight="1" spans="1:15">
      <c r="A22" s="3" t="str">
        <f t="shared" si="1"/>
        <v>OeNpR6</v>
      </c>
      <c r="B22" s="3" t="s">
        <v>110</v>
      </c>
      <c r="C22" s="3" t="str">
        <f t="shared" si="2"/>
        <v>OeNpR</v>
      </c>
      <c r="D22" t="s">
        <v>47</v>
      </c>
      <c r="E22" t="s">
        <v>40</v>
      </c>
      <c r="F22" s="4" t="s">
        <v>53</v>
      </c>
      <c r="G22" s="4">
        <v>6</v>
      </c>
      <c r="H22" s="4" t="s">
        <v>63</v>
      </c>
      <c r="I22" s="4">
        <v>1</v>
      </c>
      <c r="J22" s="16" t="s">
        <v>32</v>
      </c>
      <c r="K22" s="17">
        <v>45901</v>
      </c>
      <c r="L22" t="s">
        <v>91</v>
      </c>
      <c r="M22" s="16" t="s">
        <v>92</v>
      </c>
      <c r="N22" s="16" t="s">
        <v>93</v>
      </c>
      <c r="O22" s="4" t="str">
        <f t="shared" si="0"/>
        <v>OeNpR6</v>
      </c>
    </row>
    <row r="23" customHeight="1" spans="1:15">
      <c r="A23" s="3" t="str">
        <f>C23&amp;G23</f>
        <v>WtNpRs1</v>
      </c>
      <c r="B23" s="3" t="s">
        <v>111</v>
      </c>
      <c r="C23" s="3" t="str">
        <f t="shared" si="2"/>
        <v>WtNpRs</v>
      </c>
      <c r="D23" t="s">
        <v>43</v>
      </c>
      <c r="E23" t="s">
        <v>40</v>
      </c>
      <c r="F23" s="4" t="s">
        <v>57</v>
      </c>
      <c r="G23" s="4">
        <v>1</v>
      </c>
      <c r="H23" s="4" t="s">
        <v>63</v>
      </c>
      <c r="I23" s="4">
        <v>1</v>
      </c>
      <c r="J23" s="16" t="s">
        <v>32</v>
      </c>
      <c r="K23" s="17">
        <v>45901</v>
      </c>
      <c r="L23" t="s">
        <v>91</v>
      </c>
      <c r="M23" s="16" t="s">
        <v>92</v>
      </c>
      <c r="N23" s="16" t="s">
        <v>93</v>
      </c>
      <c r="O23" s="4" t="str">
        <f t="shared" si="0"/>
        <v>WtNpRs1</v>
      </c>
    </row>
    <row r="24" customHeight="1" spans="1:15">
      <c r="A24" s="3" t="str">
        <f t="shared" ref="A24:A40" si="3">C24&amp;G24</f>
        <v>WtNpRs2</v>
      </c>
      <c r="B24" s="3" t="s">
        <v>112</v>
      </c>
      <c r="C24" s="3" t="str">
        <f t="shared" si="2"/>
        <v>WtNpRs</v>
      </c>
      <c r="D24" t="s">
        <v>43</v>
      </c>
      <c r="E24" t="s">
        <v>40</v>
      </c>
      <c r="F24" s="4" t="s">
        <v>57</v>
      </c>
      <c r="G24" s="4">
        <v>2</v>
      </c>
      <c r="H24" s="4" t="s">
        <v>63</v>
      </c>
      <c r="I24" s="4">
        <v>1</v>
      </c>
      <c r="J24" s="16" t="s">
        <v>32</v>
      </c>
      <c r="K24" s="17">
        <v>45901</v>
      </c>
      <c r="L24" t="s">
        <v>91</v>
      </c>
      <c r="M24" s="16" t="s">
        <v>92</v>
      </c>
      <c r="N24" s="16" t="s">
        <v>93</v>
      </c>
      <c r="O24" s="4" t="str">
        <f t="shared" si="0"/>
        <v>WtNpRs2</v>
      </c>
    </row>
    <row r="25" customHeight="1" spans="1:15">
      <c r="A25" s="3" t="str">
        <f t="shared" si="3"/>
        <v>WtNpRs3</v>
      </c>
      <c r="B25" s="3" t="s">
        <v>113</v>
      </c>
      <c r="C25" s="3" t="str">
        <f t="shared" si="2"/>
        <v>WtNpRs</v>
      </c>
      <c r="D25" t="s">
        <v>43</v>
      </c>
      <c r="E25" t="s">
        <v>40</v>
      </c>
      <c r="F25" s="4" t="s">
        <v>57</v>
      </c>
      <c r="G25" s="4">
        <v>3</v>
      </c>
      <c r="H25" s="4" t="s">
        <v>63</v>
      </c>
      <c r="I25" s="4">
        <v>1</v>
      </c>
      <c r="J25" s="16" t="s">
        <v>32</v>
      </c>
      <c r="K25" s="17">
        <v>45901</v>
      </c>
      <c r="L25" t="s">
        <v>91</v>
      </c>
      <c r="M25" s="16" t="s">
        <v>92</v>
      </c>
      <c r="N25" s="16" t="s">
        <v>93</v>
      </c>
      <c r="O25" s="4" t="str">
        <f t="shared" si="0"/>
        <v>WtNpRs3</v>
      </c>
    </row>
    <row r="26" customHeight="1" spans="1:15">
      <c r="A26" s="3" t="str">
        <f t="shared" si="3"/>
        <v>WtNpRs4</v>
      </c>
      <c r="B26" s="3" t="s">
        <v>114</v>
      </c>
      <c r="C26" s="3" t="str">
        <f t="shared" si="2"/>
        <v>WtNpRs</v>
      </c>
      <c r="D26" t="s">
        <v>43</v>
      </c>
      <c r="E26" t="s">
        <v>40</v>
      </c>
      <c r="F26" s="4" t="s">
        <v>57</v>
      </c>
      <c r="G26" s="4">
        <v>4</v>
      </c>
      <c r="H26" s="4" t="s">
        <v>63</v>
      </c>
      <c r="I26" s="4">
        <v>1</v>
      </c>
      <c r="J26" s="16" t="s">
        <v>32</v>
      </c>
      <c r="K26" s="17">
        <v>45901</v>
      </c>
      <c r="L26" t="s">
        <v>91</v>
      </c>
      <c r="M26" s="16" t="s">
        <v>92</v>
      </c>
      <c r="N26" s="16" t="s">
        <v>93</v>
      </c>
      <c r="O26" s="4" t="str">
        <f t="shared" si="0"/>
        <v>WtNpRs4</v>
      </c>
    </row>
    <row r="27" customHeight="1" spans="1:15">
      <c r="A27" s="3" t="str">
        <f t="shared" si="3"/>
        <v>WtNpRs5</v>
      </c>
      <c r="B27" s="3" t="s">
        <v>115</v>
      </c>
      <c r="C27" s="3" t="str">
        <f t="shared" si="2"/>
        <v>WtNpRs</v>
      </c>
      <c r="D27" t="s">
        <v>43</v>
      </c>
      <c r="E27" t="s">
        <v>40</v>
      </c>
      <c r="F27" s="4" t="s">
        <v>57</v>
      </c>
      <c r="G27" s="4">
        <v>5</v>
      </c>
      <c r="H27" s="4" t="s">
        <v>63</v>
      </c>
      <c r="I27" s="4">
        <v>1</v>
      </c>
      <c r="J27" s="16" t="s">
        <v>32</v>
      </c>
      <c r="K27" s="17">
        <v>45901</v>
      </c>
      <c r="L27" t="s">
        <v>91</v>
      </c>
      <c r="M27" s="16" t="s">
        <v>92</v>
      </c>
      <c r="N27" s="16" t="s">
        <v>93</v>
      </c>
      <c r="O27" s="4" t="str">
        <f t="shared" si="0"/>
        <v>WtNpRs5</v>
      </c>
    </row>
    <row r="28" customHeight="1" spans="1:15">
      <c r="A28" s="3" t="str">
        <f t="shared" si="3"/>
        <v>WtNpRs6</v>
      </c>
      <c r="B28" s="3" t="s">
        <v>116</v>
      </c>
      <c r="C28" s="3" t="str">
        <f t="shared" si="2"/>
        <v>WtNpRs</v>
      </c>
      <c r="D28" t="s">
        <v>43</v>
      </c>
      <c r="E28" t="s">
        <v>40</v>
      </c>
      <c r="F28" s="4" t="s">
        <v>57</v>
      </c>
      <c r="G28" s="4">
        <v>6</v>
      </c>
      <c r="H28" s="4" t="s">
        <v>63</v>
      </c>
      <c r="I28" s="4">
        <v>1</v>
      </c>
      <c r="J28" s="16" t="s">
        <v>32</v>
      </c>
      <c r="K28" s="17">
        <v>45901</v>
      </c>
      <c r="L28" t="s">
        <v>91</v>
      </c>
      <c r="M28" s="16" t="s">
        <v>92</v>
      </c>
      <c r="N28" s="16" t="s">
        <v>93</v>
      </c>
      <c r="O28" s="4" t="str">
        <f t="shared" si="0"/>
        <v>WtNpRs6</v>
      </c>
    </row>
    <row r="29" customHeight="1" spans="1:15">
      <c r="A29" s="3" t="str">
        <f t="shared" si="3"/>
        <v>KoNpRs1</v>
      </c>
      <c r="B29" s="3" t="s">
        <v>117</v>
      </c>
      <c r="C29" s="3" t="str">
        <f t="shared" si="2"/>
        <v>KoNpRs</v>
      </c>
      <c r="D29" t="s">
        <v>50</v>
      </c>
      <c r="E29" t="s">
        <v>40</v>
      </c>
      <c r="F29" s="4" t="s">
        <v>57</v>
      </c>
      <c r="G29" s="4">
        <v>1</v>
      </c>
      <c r="H29" s="4" t="s">
        <v>63</v>
      </c>
      <c r="I29" s="4">
        <v>1</v>
      </c>
      <c r="J29" s="16" t="s">
        <v>32</v>
      </c>
      <c r="K29" s="17">
        <v>45901</v>
      </c>
      <c r="L29" t="s">
        <v>91</v>
      </c>
      <c r="M29" s="16" t="s">
        <v>92</v>
      </c>
      <c r="N29" s="16" t="s">
        <v>93</v>
      </c>
      <c r="O29" s="4" t="str">
        <f t="shared" si="0"/>
        <v>KoNpRs1</v>
      </c>
    </row>
    <row r="30" customHeight="1" spans="1:15">
      <c r="A30" s="3" t="str">
        <f t="shared" si="3"/>
        <v>KoNpRs2</v>
      </c>
      <c r="B30" s="3" t="s">
        <v>118</v>
      </c>
      <c r="C30" s="3" t="str">
        <f t="shared" si="2"/>
        <v>KoNpRs</v>
      </c>
      <c r="D30" t="s">
        <v>50</v>
      </c>
      <c r="E30" t="s">
        <v>40</v>
      </c>
      <c r="F30" s="4" t="s">
        <v>57</v>
      </c>
      <c r="G30" s="4">
        <v>2</v>
      </c>
      <c r="H30" s="4" t="s">
        <v>63</v>
      </c>
      <c r="I30" s="4">
        <v>1</v>
      </c>
      <c r="J30" s="16" t="s">
        <v>32</v>
      </c>
      <c r="K30" s="17">
        <v>45901</v>
      </c>
      <c r="L30" t="s">
        <v>91</v>
      </c>
      <c r="M30" s="16" t="s">
        <v>92</v>
      </c>
      <c r="N30" s="16" t="s">
        <v>93</v>
      </c>
      <c r="O30" s="4" t="str">
        <f t="shared" si="0"/>
        <v>KoNpRs2</v>
      </c>
    </row>
    <row r="31" customHeight="1" spans="1:15">
      <c r="A31" s="3" t="str">
        <f t="shared" si="3"/>
        <v>KoNpRs3</v>
      </c>
      <c r="B31" s="3" t="s">
        <v>119</v>
      </c>
      <c r="C31" s="3" t="str">
        <f t="shared" si="2"/>
        <v>KoNpRs</v>
      </c>
      <c r="D31" t="s">
        <v>50</v>
      </c>
      <c r="E31" t="s">
        <v>40</v>
      </c>
      <c r="F31" s="4" t="s">
        <v>57</v>
      </c>
      <c r="G31" s="4">
        <v>3</v>
      </c>
      <c r="H31" s="4" t="s">
        <v>63</v>
      </c>
      <c r="I31" s="4">
        <v>1</v>
      </c>
      <c r="J31" s="16" t="s">
        <v>32</v>
      </c>
      <c r="K31" s="17">
        <v>45901</v>
      </c>
      <c r="L31" t="s">
        <v>91</v>
      </c>
      <c r="M31" s="16" t="s">
        <v>92</v>
      </c>
      <c r="N31" s="16" t="s">
        <v>93</v>
      </c>
      <c r="O31" s="4" t="str">
        <f t="shared" si="0"/>
        <v>KoNpRs3</v>
      </c>
    </row>
    <row r="32" customHeight="1" spans="1:15">
      <c r="A32" s="3" t="str">
        <f t="shared" si="3"/>
        <v>KoNpRs4</v>
      </c>
      <c r="B32" s="3" t="s">
        <v>120</v>
      </c>
      <c r="C32" s="3" t="str">
        <f t="shared" si="2"/>
        <v>KoNpRs</v>
      </c>
      <c r="D32" t="s">
        <v>50</v>
      </c>
      <c r="E32" t="s">
        <v>40</v>
      </c>
      <c r="F32" s="4" t="s">
        <v>57</v>
      </c>
      <c r="G32" s="4">
        <v>4</v>
      </c>
      <c r="H32" s="4" t="s">
        <v>63</v>
      </c>
      <c r="I32" s="4">
        <v>1</v>
      </c>
      <c r="J32" s="16" t="s">
        <v>32</v>
      </c>
      <c r="K32" s="17">
        <v>45901</v>
      </c>
      <c r="L32" t="s">
        <v>91</v>
      </c>
      <c r="M32" s="16" t="s">
        <v>92</v>
      </c>
      <c r="N32" s="16" t="s">
        <v>93</v>
      </c>
      <c r="O32" s="4" t="str">
        <f t="shared" si="0"/>
        <v>KoNpRs4</v>
      </c>
    </row>
    <row r="33" customHeight="1" spans="1:15">
      <c r="A33" s="3" t="str">
        <f t="shared" si="3"/>
        <v>KoNpRs5</v>
      </c>
      <c r="B33" s="3" t="s">
        <v>121</v>
      </c>
      <c r="C33" s="3" t="str">
        <f t="shared" si="2"/>
        <v>KoNpRs</v>
      </c>
      <c r="D33" t="s">
        <v>50</v>
      </c>
      <c r="E33" t="s">
        <v>40</v>
      </c>
      <c r="F33" s="4" t="s">
        <v>57</v>
      </c>
      <c r="G33" s="4">
        <v>5</v>
      </c>
      <c r="H33" s="4" t="s">
        <v>63</v>
      </c>
      <c r="I33" s="4">
        <v>1</v>
      </c>
      <c r="J33" s="16" t="s">
        <v>32</v>
      </c>
      <c r="K33" s="17">
        <v>45901</v>
      </c>
      <c r="L33" t="s">
        <v>91</v>
      </c>
      <c r="M33" s="16" t="s">
        <v>92</v>
      </c>
      <c r="N33" s="16" t="s">
        <v>93</v>
      </c>
      <c r="O33" s="4" t="str">
        <f t="shared" si="0"/>
        <v>KoNpRs5</v>
      </c>
    </row>
    <row r="34" customHeight="1" spans="1:15">
      <c r="A34" s="3" t="str">
        <f t="shared" si="3"/>
        <v>KoNpRs6</v>
      </c>
      <c r="B34" s="3" t="s">
        <v>122</v>
      </c>
      <c r="C34" s="3" t="str">
        <f t="shared" si="2"/>
        <v>KoNpRs</v>
      </c>
      <c r="D34" t="s">
        <v>50</v>
      </c>
      <c r="E34" t="s">
        <v>40</v>
      </c>
      <c r="F34" s="4" t="s">
        <v>57</v>
      </c>
      <c r="G34" s="4">
        <v>6</v>
      </c>
      <c r="H34" s="4" t="s">
        <v>63</v>
      </c>
      <c r="I34" s="4">
        <v>1</v>
      </c>
      <c r="J34" s="16" t="s">
        <v>32</v>
      </c>
      <c r="K34" s="17">
        <v>45901</v>
      </c>
      <c r="L34" t="s">
        <v>91</v>
      </c>
      <c r="M34" s="16" t="s">
        <v>92</v>
      </c>
      <c r="N34" s="16" t="s">
        <v>93</v>
      </c>
      <c r="O34" s="4" t="str">
        <f t="shared" si="0"/>
        <v>KoNpRs6</v>
      </c>
    </row>
    <row r="35" customHeight="1" spans="1:15">
      <c r="A35" s="3" t="str">
        <f t="shared" si="3"/>
        <v>OeNpRs1</v>
      </c>
      <c r="B35" s="3" t="s">
        <v>123</v>
      </c>
      <c r="C35" s="3" t="str">
        <f t="shared" si="2"/>
        <v>OeNpRs</v>
      </c>
      <c r="D35" t="s">
        <v>47</v>
      </c>
      <c r="E35" t="s">
        <v>40</v>
      </c>
      <c r="F35" s="4" t="s">
        <v>57</v>
      </c>
      <c r="G35" s="4">
        <v>1</v>
      </c>
      <c r="H35" s="4" t="s">
        <v>63</v>
      </c>
      <c r="I35" s="4">
        <v>1</v>
      </c>
      <c r="J35" s="16" t="s">
        <v>32</v>
      </c>
      <c r="K35" s="17">
        <v>45901</v>
      </c>
      <c r="L35" t="s">
        <v>91</v>
      </c>
      <c r="M35" s="16" t="s">
        <v>92</v>
      </c>
      <c r="N35" s="16" t="s">
        <v>93</v>
      </c>
      <c r="O35" s="4" t="str">
        <f t="shared" si="0"/>
        <v>OeNpRs1</v>
      </c>
    </row>
    <row r="36" customHeight="1" spans="1:15">
      <c r="A36" s="3" t="str">
        <f t="shared" si="3"/>
        <v>OeNpRs2</v>
      </c>
      <c r="B36" s="3" t="s">
        <v>124</v>
      </c>
      <c r="C36" s="3" t="str">
        <f t="shared" si="2"/>
        <v>OeNpRs</v>
      </c>
      <c r="D36" t="s">
        <v>47</v>
      </c>
      <c r="E36" t="s">
        <v>40</v>
      </c>
      <c r="F36" s="4" t="s">
        <v>57</v>
      </c>
      <c r="G36" s="4">
        <v>2</v>
      </c>
      <c r="H36" s="4" t="s">
        <v>63</v>
      </c>
      <c r="I36" s="4">
        <v>1</v>
      </c>
      <c r="J36" s="16" t="s">
        <v>32</v>
      </c>
      <c r="K36" s="17">
        <v>45901</v>
      </c>
      <c r="L36" t="s">
        <v>91</v>
      </c>
      <c r="M36" s="16" t="s">
        <v>92</v>
      </c>
      <c r="N36" s="16" t="s">
        <v>93</v>
      </c>
      <c r="O36" s="4" t="str">
        <f t="shared" si="0"/>
        <v>OeNpRs2</v>
      </c>
    </row>
    <row r="37" customHeight="1" spans="1:15">
      <c r="A37" s="3" t="str">
        <f t="shared" si="3"/>
        <v>OeNpRs3</v>
      </c>
      <c r="B37" s="3" t="s">
        <v>125</v>
      </c>
      <c r="C37" s="3" t="str">
        <f t="shared" si="2"/>
        <v>OeNpRs</v>
      </c>
      <c r="D37" t="s">
        <v>47</v>
      </c>
      <c r="E37" t="s">
        <v>40</v>
      </c>
      <c r="F37" s="4" t="s">
        <v>57</v>
      </c>
      <c r="G37" s="4">
        <v>3</v>
      </c>
      <c r="H37" s="4" t="s">
        <v>63</v>
      </c>
      <c r="I37" s="4">
        <v>1</v>
      </c>
      <c r="J37" s="16" t="s">
        <v>32</v>
      </c>
      <c r="K37" s="17">
        <v>45901</v>
      </c>
      <c r="L37" t="s">
        <v>91</v>
      </c>
      <c r="M37" s="16" t="s">
        <v>92</v>
      </c>
      <c r="N37" s="16" t="s">
        <v>93</v>
      </c>
      <c r="O37" s="4" t="str">
        <f t="shared" si="0"/>
        <v>OeNpRs3</v>
      </c>
    </row>
    <row r="38" customHeight="1" spans="1:15">
      <c r="A38" s="3" t="str">
        <f t="shared" si="3"/>
        <v>OeNpRs4</v>
      </c>
      <c r="B38" s="3" t="s">
        <v>126</v>
      </c>
      <c r="C38" s="3" t="str">
        <f t="shared" si="2"/>
        <v>OeNpRs</v>
      </c>
      <c r="D38" t="s">
        <v>47</v>
      </c>
      <c r="E38" t="s">
        <v>40</v>
      </c>
      <c r="F38" s="4" t="s">
        <v>57</v>
      </c>
      <c r="G38" s="4">
        <v>4</v>
      </c>
      <c r="H38" s="4" t="s">
        <v>63</v>
      </c>
      <c r="I38" s="4">
        <v>1</v>
      </c>
      <c r="J38" s="16" t="s">
        <v>32</v>
      </c>
      <c r="K38" s="17">
        <v>45901</v>
      </c>
      <c r="L38" t="s">
        <v>91</v>
      </c>
      <c r="M38" s="16" t="s">
        <v>92</v>
      </c>
      <c r="N38" s="16" t="s">
        <v>93</v>
      </c>
      <c r="O38" s="4" t="str">
        <f t="shared" si="0"/>
        <v>OeNpRs4</v>
      </c>
    </row>
    <row r="39" customHeight="1" spans="1:15">
      <c r="A39" s="3" t="str">
        <f t="shared" si="3"/>
        <v>OeNpRs5</v>
      </c>
      <c r="B39" s="3" t="s">
        <v>127</v>
      </c>
      <c r="C39" s="3" t="str">
        <f t="shared" si="2"/>
        <v>OeNpRs</v>
      </c>
      <c r="D39" t="s">
        <v>47</v>
      </c>
      <c r="E39" t="s">
        <v>40</v>
      </c>
      <c r="F39" s="4" t="s">
        <v>57</v>
      </c>
      <c r="G39" s="4">
        <v>5</v>
      </c>
      <c r="H39" s="4" t="s">
        <v>63</v>
      </c>
      <c r="I39" s="4">
        <v>1</v>
      </c>
      <c r="J39" s="16" t="s">
        <v>32</v>
      </c>
      <c r="K39" s="17">
        <v>45901</v>
      </c>
      <c r="L39" t="s">
        <v>91</v>
      </c>
      <c r="M39" s="16" t="s">
        <v>92</v>
      </c>
      <c r="N39" s="16" t="s">
        <v>93</v>
      </c>
      <c r="O39" s="4" t="str">
        <f t="shared" si="0"/>
        <v>OeNpRs5</v>
      </c>
    </row>
    <row r="40" customHeight="1" spans="1:15">
      <c r="A40" s="3" t="str">
        <f t="shared" si="3"/>
        <v>OeNpRs6</v>
      </c>
      <c r="B40" s="3" t="s">
        <v>128</v>
      </c>
      <c r="C40" s="3" t="str">
        <f t="shared" si="2"/>
        <v>OeNpRs</v>
      </c>
      <c r="D40" t="s">
        <v>47</v>
      </c>
      <c r="E40" t="s">
        <v>40</v>
      </c>
      <c r="F40" s="4" t="s">
        <v>57</v>
      </c>
      <c r="G40" s="4">
        <v>6</v>
      </c>
      <c r="H40" s="4" t="s">
        <v>63</v>
      </c>
      <c r="I40" s="4">
        <v>1</v>
      </c>
      <c r="J40" s="16" t="s">
        <v>32</v>
      </c>
      <c r="K40" s="17">
        <v>45901</v>
      </c>
      <c r="L40" t="s">
        <v>91</v>
      </c>
      <c r="M40" s="16" t="s">
        <v>92</v>
      </c>
      <c r="N40" s="16" t="s">
        <v>93</v>
      </c>
      <c r="O40" s="4" t="str">
        <f t="shared" si="0"/>
        <v>OeNpRs6</v>
      </c>
    </row>
    <row r="41" customHeight="1" spans="1:15">
      <c r="A41" s="3" t="str">
        <f t="shared" ref="A41:A76" si="4">C41&amp;G41</f>
        <v>WtLpR1</v>
      </c>
      <c r="B41" s="3"/>
      <c r="C41" s="3" t="str">
        <f t="shared" ref="C41:C76" si="5">D41&amp;E41&amp;F41</f>
        <v>WtLpR</v>
      </c>
      <c r="D41" t="s">
        <v>43</v>
      </c>
      <c r="E41" s="5" t="s">
        <v>36</v>
      </c>
      <c r="F41" s="4" t="s">
        <v>53</v>
      </c>
      <c r="G41" s="4">
        <v>1</v>
      </c>
      <c r="H41" s="4" t="s">
        <v>63</v>
      </c>
      <c r="I41" s="4">
        <v>1</v>
      </c>
      <c r="J41" s="16" t="s">
        <v>32</v>
      </c>
      <c r="K41" s="17">
        <v>45901</v>
      </c>
      <c r="L41" t="s">
        <v>91</v>
      </c>
      <c r="M41" s="16" t="s">
        <v>92</v>
      </c>
      <c r="N41" s="16" t="s">
        <v>93</v>
      </c>
      <c r="O41" s="4" t="str">
        <f t="shared" ref="O41:O76" si="6">A41</f>
        <v>WtLpR1</v>
      </c>
    </row>
    <row r="42" customHeight="1" spans="1:15">
      <c r="A42" s="3" t="str">
        <f t="shared" si="4"/>
        <v>WtLpR2</v>
      </c>
      <c r="B42" s="3"/>
      <c r="C42" s="3" t="str">
        <f t="shared" si="5"/>
        <v>WtLpR</v>
      </c>
      <c r="D42" t="s">
        <v>43</v>
      </c>
      <c r="E42" s="5" t="s">
        <v>36</v>
      </c>
      <c r="F42" s="4" t="s">
        <v>53</v>
      </c>
      <c r="G42" s="4">
        <v>2</v>
      </c>
      <c r="H42" s="4" t="s">
        <v>63</v>
      </c>
      <c r="I42" s="4">
        <v>1</v>
      </c>
      <c r="J42" s="16" t="s">
        <v>32</v>
      </c>
      <c r="K42" s="17">
        <v>45901</v>
      </c>
      <c r="L42" t="s">
        <v>91</v>
      </c>
      <c r="M42" s="16" t="s">
        <v>92</v>
      </c>
      <c r="N42" s="16" t="s">
        <v>93</v>
      </c>
      <c r="O42" s="4" t="str">
        <f t="shared" si="6"/>
        <v>WtLpR2</v>
      </c>
    </row>
    <row r="43" customHeight="1" spans="1:15">
      <c r="A43" s="3" t="str">
        <f t="shared" si="4"/>
        <v>WtLpR3</v>
      </c>
      <c r="B43" s="4"/>
      <c r="C43" s="3" t="str">
        <f t="shared" si="5"/>
        <v>WtLpR</v>
      </c>
      <c r="D43" t="s">
        <v>43</v>
      </c>
      <c r="E43" s="5" t="s">
        <v>36</v>
      </c>
      <c r="F43" s="4" t="s">
        <v>53</v>
      </c>
      <c r="G43" s="4">
        <v>3</v>
      </c>
      <c r="H43" s="4" t="s">
        <v>63</v>
      </c>
      <c r="I43" s="4">
        <v>1</v>
      </c>
      <c r="J43" s="16" t="s">
        <v>32</v>
      </c>
      <c r="K43" s="17">
        <v>45901</v>
      </c>
      <c r="L43" t="s">
        <v>91</v>
      </c>
      <c r="M43" s="16" t="s">
        <v>92</v>
      </c>
      <c r="N43" s="16" t="s">
        <v>93</v>
      </c>
      <c r="O43" s="4" t="str">
        <f t="shared" si="6"/>
        <v>WtLpR3</v>
      </c>
    </row>
    <row r="44" customHeight="1" spans="1:15">
      <c r="A44" s="3" t="str">
        <f t="shared" si="4"/>
        <v>WtLpR4</v>
      </c>
      <c r="B44" s="4"/>
      <c r="C44" s="3" t="str">
        <f t="shared" si="5"/>
        <v>WtLpR</v>
      </c>
      <c r="D44" t="s">
        <v>43</v>
      </c>
      <c r="E44" s="5" t="s">
        <v>36</v>
      </c>
      <c r="F44" s="4" t="s">
        <v>53</v>
      </c>
      <c r="G44" s="4">
        <v>4</v>
      </c>
      <c r="H44" s="4" t="s">
        <v>63</v>
      </c>
      <c r="I44" s="4">
        <v>1</v>
      </c>
      <c r="J44" s="16" t="s">
        <v>32</v>
      </c>
      <c r="K44" s="17">
        <v>45901</v>
      </c>
      <c r="L44" t="s">
        <v>91</v>
      </c>
      <c r="M44" s="16" t="s">
        <v>92</v>
      </c>
      <c r="N44" s="16" t="s">
        <v>93</v>
      </c>
      <c r="O44" s="4" t="str">
        <f t="shared" si="6"/>
        <v>WtLpR4</v>
      </c>
    </row>
    <row r="45" customHeight="1" spans="1:15">
      <c r="A45" s="3" t="str">
        <f t="shared" si="4"/>
        <v>WtLpR5</v>
      </c>
      <c r="B45" s="4"/>
      <c r="C45" s="3" t="str">
        <f t="shared" si="5"/>
        <v>WtLpR</v>
      </c>
      <c r="D45" t="s">
        <v>43</v>
      </c>
      <c r="E45" s="5" t="s">
        <v>36</v>
      </c>
      <c r="F45" s="4" t="s">
        <v>53</v>
      </c>
      <c r="G45" s="4">
        <v>5</v>
      </c>
      <c r="H45" s="4" t="s">
        <v>63</v>
      </c>
      <c r="I45" s="4">
        <v>1</v>
      </c>
      <c r="J45" s="16" t="s">
        <v>32</v>
      </c>
      <c r="K45" s="17">
        <v>45901</v>
      </c>
      <c r="L45" t="s">
        <v>91</v>
      </c>
      <c r="M45" s="16" t="s">
        <v>92</v>
      </c>
      <c r="N45" s="16" t="s">
        <v>93</v>
      </c>
      <c r="O45" s="4" t="str">
        <f t="shared" si="6"/>
        <v>WtLpR5</v>
      </c>
    </row>
    <row r="46" customHeight="1" spans="1:15">
      <c r="A46" s="3" t="str">
        <f t="shared" si="4"/>
        <v>WtLpR6</v>
      </c>
      <c r="B46" s="4"/>
      <c r="C46" s="3" t="str">
        <f t="shared" si="5"/>
        <v>WtLpR</v>
      </c>
      <c r="D46" t="s">
        <v>43</v>
      </c>
      <c r="E46" s="5" t="s">
        <v>36</v>
      </c>
      <c r="F46" s="4" t="s">
        <v>53</v>
      </c>
      <c r="G46" s="4">
        <v>6</v>
      </c>
      <c r="H46" s="4" t="s">
        <v>63</v>
      </c>
      <c r="I46" s="4">
        <v>1</v>
      </c>
      <c r="J46" s="16" t="s">
        <v>32</v>
      </c>
      <c r="K46" s="17">
        <v>45901</v>
      </c>
      <c r="L46" t="s">
        <v>91</v>
      </c>
      <c r="M46" s="16" t="s">
        <v>92</v>
      </c>
      <c r="N46" s="16" t="s">
        <v>93</v>
      </c>
      <c r="O46" s="4" t="str">
        <f t="shared" si="6"/>
        <v>WtLpR6</v>
      </c>
    </row>
    <row r="47" customHeight="1" spans="1:15">
      <c r="A47" s="3" t="str">
        <f t="shared" si="4"/>
        <v>KoLpR1</v>
      </c>
      <c r="B47" s="4"/>
      <c r="C47" s="3" t="str">
        <f t="shared" si="5"/>
        <v>KoLpR</v>
      </c>
      <c r="D47" t="s">
        <v>50</v>
      </c>
      <c r="E47" s="5" t="s">
        <v>36</v>
      </c>
      <c r="F47" s="4" t="s">
        <v>53</v>
      </c>
      <c r="G47" s="4">
        <v>1</v>
      </c>
      <c r="H47" s="4" t="s">
        <v>63</v>
      </c>
      <c r="I47" s="4">
        <v>1</v>
      </c>
      <c r="J47" s="16" t="s">
        <v>32</v>
      </c>
      <c r="K47" s="17">
        <v>45901</v>
      </c>
      <c r="L47" t="s">
        <v>91</v>
      </c>
      <c r="M47" s="16" t="s">
        <v>92</v>
      </c>
      <c r="N47" s="16" t="s">
        <v>93</v>
      </c>
      <c r="O47" s="4" t="str">
        <f t="shared" si="6"/>
        <v>KoLpR1</v>
      </c>
    </row>
    <row r="48" customHeight="1" spans="1:15">
      <c r="A48" s="3" t="str">
        <f t="shared" si="4"/>
        <v>KoLpR2</v>
      </c>
      <c r="B48" s="4"/>
      <c r="C48" s="3" t="str">
        <f t="shared" si="5"/>
        <v>KoLpR</v>
      </c>
      <c r="D48" t="s">
        <v>50</v>
      </c>
      <c r="E48" s="5" t="s">
        <v>36</v>
      </c>
      <c r="F48" s="4" t="s">
        <v>53</v>
      </c>
      <c r="G48" s="4">
        <v>2</v>
      </c>
      <c r="H48" s="4" t="s">
        <v>63</v>
      </c>
      <c r="I48" s="4">
        <v>1</v>
      </c>
      <c r="J48" s="16" t="s">
        <v>32</v>
      </c>
      <c r="K48" s="17">
        <v>45901</v>
      </c>
      <c r="L48" t="s">
        <v>91</v>
      </c>
      <c r="M48" s="16" t="s">
        <v>92</v>
      </c>
      <c r="N48" s="16" t="s">
        <v>93</v>
      </c>
      <c r="O48" s="4" t="str">
        <f t="shared" si="6"/>
        <v>KoLpR2</v>
      </c>
    </row>
    <row r="49" customHeight="1" spans="1:15">
      <c r="A49" s="3" t="str">
        <f t="shared" si="4"/>
        <v>KoLpR3</v>
      </c>
      <c r="B49" s="4"/>
      <c r="C49" s="3" t="str">
        <f t="shared" si="5"/>
        <v>KoLpR</v>
      </c>
      <c r="D49" t="s">
        <v>50</v>
      </c>
      <c r="E49" s="5" t="s">
        <v>36</v>
      </c>
      <c r="F49" s="4" t="s">
        <v>53</v>
      </c>
      <c r="G49" s="4">
        <v>3</v>
      </c>
      <c r="H49" s="4" t="s">
        <v>63</v>
      </c>
      <c r="I49" s="4">
        <v>1</v>
      </c>
      <c r="J49" s="16" t="s">
        <v>32</v>
      </c>
      <c r="K49" s="17">
        <v>45901</v>
      </c>
      <c r="L49" t="s">
        <v>91</v>
      </c>
      <c r="M49" s="16" t="s">
        <v>92</v>
      </c>
      <c r="N49" s="16" t="s">
        <v>93</v>
      </c>
      <c r="O49" s="4" t="str">
        <f t="shared" si="6"/>
        <v>KoLpR3</v>
      </c>
    </row>
    <row r="50" customHeight="1" spans="1:15">
      <c r="A50" s="3" t="str">
        <f t="shared" si="4"/>
        <v>KoLpR4</v>
      </c>
      <c r="B50" s="4"/>
      <c r="C50" s="3" t="str">
        <f t="shared" si="5"/>
        <v>KoLpR</v>
      </c>
      <c r="D50" t="s">
        <v>50</v>
      </c>
      <c r="E50" s="5" t="s">
        <v>36</v>
      </c>
      <c r="F50" s="4" t="s">
        <v>53</v>
      </c>
      <c r="G50" s="4">
        <v>4</v>
      </c>
      <c r="H50" s="4" t="s">
        <v>63</v>
      </c>
      <c r="I50" s="4">
        <v>1</v>
      </c>
      <c r="J50" s="16" t="s">
        <v>32</v>
      </c>
      <c r="K50" s="17">
        <v>45901</v>
      </c>
      <c r="L50" t="s">
        <v>91</v>
      </c>
      <c r="M50" s="16" t="s">
        <v>92</v>
      </c>
      <c r="N50" s="16" t="s">
        <v>93</v>
      </c>
      <c r="O50" s="4" t="str">
        <f t="shared" si="6"/>
        <v>KoLpR4</v>
      </c>
    </row>
    <row r="51" customHeight="1" spans="1:15">
      <c r="A51" s="3" t="str">
        <f t="shared" si="4"/>
        <v>KoLpR5</v>
      </c>
      <c r="C51" s="3" t="str">
        <f t="shared" si="5"/>
        <v>KoLpR</v>
      </c>
      <c r="D51" t="s">
        <v>50</v>
      </c>
      <c r="E51" s="5" t="s">
        <v>36</v>
      </c>
      <c r="F51" s="4" t="s">
        <v>53</v>
      </c>
      <c r="G51" s="4">
        <v>5</v>
      </c>
      <c r="H51" s="4" t="s">
        <v>63</v>
      </c>
      <c r="I51" s="4">
        <v>1</v>
      </c>
      <c r="J51" s="16" t="s">
        <v>32</v>
      </c>
      <c r="K51" s="17">
        <v>45901</v>
      </c>
      <c r="L51" t="s">
        <v>91</v>
      </c>
      <c r="M51" s="16" t="s">
        <v>92</v>
      </c>
      <c r="N51" s="16" t="s">
        <v>93</v>
      </c>
      <c r="O51" s="4" t="str">
        <f t="shared" si="6"/>
        <v>KoLpR5</v>
      </c>
    </row>
    <row r="52" customHeight="1" spans="1:15">
      <c r="A52" s="3" t="str">
        <f t="shared" si="4"/>
        <v>KoLpR6</v>
      </c>
      <c r="C52" s="3" t="str">
        <f t="shared" si="5"/>
        <v>KoLpR</v>
      </c>
      <c r="D52" t="s">
        <v>50</v>
      </c>
      <c r="E52" s="5" t="s">
        <v>36</v>
      </c>
      <c r="F52" s="4" t="s">
        <v>53</v>
      </c>
      <c r="G52" s="4">
        <v>6</v>
      </c>
      <c r="H52" s="4" t="s">
        <v>63</v>
      </c>
      <c r="I52" s="4">
        <v>1</v>
      </c>
      <c r="J52" s="16" t="s">
        <v>32</v>
      </c>
      <c r="K52" s="17">
        <v>45901</v>
      </c>
      <c r="L52" t="s">
        <v>91</v>
      </c>
      <c r="M52" s="16" t="s">
        <v>92</v>
      </c>
      <c r="N52" s="16" t="s">
        <v>93</v>
      </c>
      <c r="O52" s="4" t="str">
        <f t="shared" si="6"/>
        <v>KoLpR6</v>
      </c>
    </row>
    <row r="53" customHeight="1" spans="1:15">
      <c r="A53" s="3" t="str">
        <f t="shared" si="4"/>
        <v>OeLpR1</v>
      </c>
      <c r="C53" s="3" t="str">
        <f t="shared" si="5"/>
        <v>OeLpR</v>
      </c>
      <c r="D53" t="s">
        <v>47</v>
      </c>
      <c r="E53" s="5" t="s">
        <v>36</v>
      </c>
      <c r="F53" s="4" t="s">
        <v>53</v>
      </c>
      <c r="G53" s="4">
        <v>1</v>
      </c>
      <c r="H53" s="4" t="s">
        <v>63</v>
      </c>
      <c r="I53" s="4">
        <v>1</v>
      </c>
      <c r="J53" s="16" t="s">
        <v>32</v>
      </c>
      <c r="K53" s="17">
        <v>45901</v>
      </c>
      <c r="L53" t="s">
        <v>91</v>
      </c>
      <c r="M53" s="16" t="s">
        <v>92</v>
      </c>
      <c r="N53" s="16" t="s">
        <v>93</v>
      </c>
      <c r="O53" s="4" t="str">
        <f t="shared" si="6"/>
        <v>OeLpR1</v>
      </c>
    </row>
    <row r="54" customHeight="1" spans="1:15">
      <c r="A54" s="3" t="str">
        <f t="shared" si="4"/>
        <v>OeLpR2</v>
      </c>
      <c r="C54" s="3" t="str">
        <f t="shared" si="5"/>
        <v>OeLpR</v>
      </c>
      <c r="D54" t="s">
        <v>47</v>
      </c>
      <c r="E54" s="5" t="s">
        <v>36</v>
      </c>
      <c r="F54" s="4" t="s">
        <v>53</v>
      </c>
      <c r="G54" s="4">
        <v>2</v>
      </c>
      <c r="H54" s="4" t="s">
        <v>63</v>
      </c>
      <c r="I54" s="4">
        <v>1</v>
      </c>
      <c r="J54" s="16" t="s">
        <v>32</v>
      </c>
      <c r="K54" s="17">
        <v>45901</v>
      </c>
      <c r="L54" t="s">
        <v>91</v>
      </c>
      <c r="M54" s="16" t="s">
        <v>92</v>
      </c>
      <c r="N54" s="16" t="s">
        <v>93</v>
      </c>
      <c r="O54" s="4" t="str">
        <f t="shared" si="6"/>
        <v>OeLpR2</v>
      </c>
    </row>
    <row r="55" customHeight="1" spans="1:15">
      <c r="A55" s="3" t="str">
        <f t="shared" si="4"/>
        <v>OeLpR3</v>
      </c>
      <c r="C55" s="3" t="str">
        <f t="shared" si="5"/>
        <v>OeLpR</v>
      </c>
      <c r="D55" t="s">
        <v>47</v>
      </c>
      <c r="E55" s="5" t="s">
        <v>36</v>
      </c>
      <c r="F55" s="4" t="s">
        <v>53</v>
      </c>
      <c r="G55" s="4">
        <v>3</v>
      </c>
      <c r="H55" s="4" t="s">
        <v>63</v>
      </c>
      <c r="I55" s="4">
        <v>1</v>
      </c>
      <c r="J55" s="16" t="s">
        <v>32</v>
      </c>
      <c r="K55" s="17">
        <v>45901</v>
      </c>
      <c r="L55" t="s">
        <v>91</v>
      </c>
      <c r="M55" s="16" t="s">
        <v>92</v>
      </c>
      <c r="N55" s="16" t="s">
        <v>93</v>
      </c>
      <c r="O55" s="4" t="str">
        <f t="shared" si="6"/>
        <v>OeLpR3</v>
      </c>
    </row>
    <row r="56" customHeight="1" spans="1:15">
      <c r="A56" s="3" t="str">
        <f t="shared" si="4"/>
        <v>OeLpR4</v>
      </c>
      <c r="C56" s="3" t="str">
        <f t="shared" si="5"/>
        <v>OeLpR</v>
      </c>
      <c r="D56" t="s">
        <v>47</v>
      </c>
      <c r="E56" s="5" t="s">
        <v>36</v>
      </c>
      <c r="F56" s="4" t="s">
        <v>53</v>
      </c>
      <c r="G56" s="4">
        <v>4</v>
      </c>
      <c r="H56" s="4" t="s">
        <v>63</v>
      </c>
      <c r="I56" s="4">
        <v>1</v>
      </c>
      <c r="J56" s="16" t="s">
        <v>32</v>
      </c>
      <c r="K56" s="17">
        <v>45901</v>
      </c>
      <c r="L56" t="s">
        <v>91</v>
      </c>
      <c r="M56" s="16" t="s">
        <v>92</v>
      </c>
      <c r="N56" s="16" t="s">
        <v>93</v>
      </c>
      <c r="O56" s="4" t="str">
        <f t="shared" si="6"/>
        <v>OeLpR4</v>
      </c>
    </row>
    <row r="57" customHeight="1" spans="1:15">
      <c r="A57" s="3" t="str">
        <f t="shared" si="4"/>
        <v>OeLpR5</v>
      </c>
      <c r="C57" s="3" t="str">
        <f t="shared" si="5"/>
        <v>OeLpR</v>
      </c>
      <c r="D57" t="s">
        <v>47</v>
      </c>
      <c r="E57" s="5" t="s">
        <v>36</v>
      </c>
      <c r="F57" s="4" t="s">
        <v>53</v>
      </c>
      <c r="G57" s="4">
        <v>5</v>
      </c>
      <c r="H57" s="4" t="s">
        <v>63</v>
      </c>
      <c r="I57" s="4">
        <v>1</v>
      </c>
      <c r="J57" s="16" t="s">
        <v>32</v>
      </c>
      <c r="K57" s="17">
        <v>45901</v>
      </c>
      <c r="L57" t="s">
        <v>91</v>
      </c>
      <c r="M57" s="16" t="s">
        <v>92</v>
      </c>
      <c r="N57" s="16" t="s">
        <v>93</v>
      </c>
      <c r="O57" s="4" t="str">
        <f t="shared" si="6"/>
        <v>OeLpR5</v>
      </c>
    </row>
    <row r="58" customHeight="1" spans="1:15">
      <c r="A58" s="3" t="str">
        <f t="shared" si="4"/>
        <v>OeLpR6</v>
      </c>
      <c r="C58" s="3" t="str">
        <f t="shared" si="5"/>
        <v>OeLpR</v>
      </c>
      <c r="D58" t="s">
        <v>47</v>
      </c>
      <c r="E58" s="5" t="s">
        <v>36</v>
      </c>
      <c r="F58" s="4" t="s">
        <v>53</v>
      </c>
      <c r="G58" s="4">
        <v>6</v>
      </c>
      <c r="H58" s="4" t="s">
        <v>63</v>
      </c>
      <c r="I58" s="4">
        <v>1</v>
      </c>
      <c r="J58" s="16" t="s">
        <v>32</v>
      </c>
      <c r="K58" s="17">
        <v>45901</v>
      </c>
      <c r="L58" t="s">
        <v>91</v>
      </c>
      <c r="M58" s="16" t="s">
        <v>92</v>
      </c>
      <c r="N58" s="16" t="s">
        <v>93</v>
      </c>
      <c r="O58" s="4" t="str">
        <f t="shared" si="6"/>
        <v>OeLpR6</v>
      </c>
    </row>
    <row r="59" customHeight="1" spans="1:15">
      <c r="A59" s="3" t="str">
        <f t="shared" si="4"/>
        <v>WtLpRs1</v>
      </c>
      <c r="C59" s="3" t="str">
        <f t="shared" si="5"/>
        <v>WtLpRs</v>
      </c>
      <c r="D59" t="s">
        <v>43</v>
      </c>
      <c r="E59" s="5" t="s">
        <v>36</v>
      </c>
      <c r="F59" s="4" t="s">
        <v>57</v>
      </c>
      <c r="G59" s="4">
        <v>1</v>
      </c>
      <c r="H59" s="4" t="s">
        <v>63</v>
      </c>
      <c r="I59" s="4">
        <v>1</v>
      </c>
      <c r="J59" s="16" t="s">
        <v>32</v>
      </c>
      <c r="K59" s="17">
        <v>45901</v>
      </c>
      <c r="L59" t="s">
        <v>91</v>
      </c>
      <c r="M59" s="16" t="s">
        <v>92</v>
      </c>
      <c r="N59" s="16" t="s">
        <v>93</v>
      </c>
      <c r="O59" s="4" t="str">
        <f t="shared" si="6"/>
        <v>WtLpRs1</v>
      </c>
    </row>
    <row r="60" customHeight="1" spans="1:15">
      <c r="A60" s="3" t="str">
        <f t="shared" si="4"/>
        <v>WtLpRs2</v>
      </c>
      <c r="C60" s="3" t="str">
        <f t="shared" si="5"/>
        <v>WtLpRs</v>
      </c>
      <c r="D60" t="s">
        <v>43</v>
      </c>
      <c r="E60" s="5" t="s">
        <v>36</v>
      </c>
      <c r="F60" s="4" t="s">
        <v>57</v>
      </c>
      <c r="G60" s="4">
        <v>2</v>
      </c>
      <c r="H60" s="4" t="s">
        <v>63</v>
      </c>
      <c r="I60" s="4">
        <v>1</v>
      </c>
      <c r="J60" s="16" t="s">
        <v>32</v>
      </c>
      <c r="K60" s="17">
        <v>45901</v>
      </c>
      <c r="L60" t="s">
        <v>91</v>
      </c>
      <c r="M60" s="16" t="s">
        <v>92</v>
      </c>
      <c r="N60" s="16" t="s">
        <v>93</v>
      </c>
      <c r="O60" s="4" t="str">
        <f t="shared" si="6"/>
        <v>WtLpRs2</v>
      </c>
    </row>
    <row r="61" customHeight="1" spans="1:15">
      <c r="A61" s="3" t="str">
        <f t="shared" si="4"/>
        <v>WtLpRs3</v>
      </c>
      <c r="C61" s="3" t="str">
        <f t="shared" si="5"/>
        <v>WtLpRs</v>
      </c>
      <c r="D61" t="s">
        <v>43</v>
      </c>
      <c r="E61" s="5" t="s">
        <v>36</v>
      </c>
      <c r="F61" s="4" t="s">
        <v>57</v>
      </c>
      <c r="G61" s="4">
        <v>3</v>
      </c>
      <c r="H61" s="4" t="s">
        <v>63</v>
      </c>
      <c r="I61" s="4">
        <v>1</v>
      </c>
      <c r="J61" s="16" t="s">
        <v>32</v>
      </c>
      <c r="K61" s="17">
        <v>45901</v>
      </c>
      <c r="L61" t="s">
        <v>91</v>
      </c>
      <c r="M61" s="16" t="s">
        <v>92</v>
      </c>
      <c r="N61" s="16" t="s">
        <v>93</v>
      </c>
      <c r="O61" s="4" t="str">
        <f t="shared" si="6"/>
        <v>WtLpRs3</v>
      </c>
    </row>
    <row r="62" customHeight="1" spans="1:15">
      <c r="A62" s="3" t="str">
        <f t="shared" si="4"/>
        <v>WtLpRs4</v>
      </c>
      <c r="C62" s="3" t="str">
        <f t="shared" si="5"/>
        <v>WtLpRs</v>
      </c>
      <c r="D62" t="s">
        <v>43</v>
      </c>
      <c r="E62" s="5" t="s">
        <v>36</v>
      </c>
      <c r="F62" s="4" t="s">
        <v>57</v>
      </c>
      <c r="G62" s="4">
        <v>4</v>
      </c>
      <c r="H62" s="4" t="s">
        <v>63</v>
      </c>
      <c r="I62" s="4">
        <v>1</v>
      </c>
      <c r="J62" s="16" t="s">
        <v>32</v>
      </c>
      <c r="K62" s="17">
        <v>45901</v>
      </c>
      <c r="L62" t="s">
        <v>91</v>
      </c>
      <c r="M62" s="16" t="s">
        <v>92</v>
      </c>
      <c r="N62" s="16" t="s">
        <v>93</v>
      </c>
      <c r="O62" s="4" t="str">
        <f t="shared" si="6"/>
        <v>WtLpRs4</v>
      </c>
    </row>
    <row r="63" customHeight="1" spans="1:15">
      <c r="A63" s="3" t="str">
        <f t="shared" si="4"/>
        <v>WtLpRs5</v>
      </c>
      <c r="C63" s="3" t="str">
        <f t="shared" si="5"/>
        <v>WtLpRs</v>
      </c>
      <c r="D63" t="s">
        <v>43</v>
      </c>
      <c r="E63" s="5" t="s">
        <v>36</v>
      </c>
      <c r="F63" s="4" t="s">
        <v>57</v>
      </c>
      <c r="G63" s="4">
        <v>5</v>
      </c>
      <c r="H63" s="4" t="s">
        <v>63</v>
      </c>
      <c r="I63" s="4">
        <v>1</v>
      </c>
      <c r="J63" s="16" t="s">
        <v>32</v>
      </c>
      <c r="K63" s="17">
        <v>45901</v>
      </c>
      <c r="L63" t="s">
        <v>91</v>
      </c>
      <c r="M63" s="16" t="s">
        <v>92</v>
      </c>
      <c r="N63" s="16" t="s">
        <v>93</v>
      </c>
      <c r="O63" s="4" t="str">
        <f t="shared" si="6"/>
        <v>WtLpRs5</v>
      </c>
    </row>
    <row r="64" customHeight="1" spans="1:15">
      <c r="A64" s="3" t="str">
        <f t="shared" si="4"/>
        <v>WtLpRs6</v>
      </c>
      <c r="C64" s="3" t="str">
        <f t="shared" si="5"/>
        <v>WtLpRs</v>
      </c>
      <c r="D64" t="s">
        <v>43</v>
      </c>
      <c r="E64" s="5" t="s">
        <v>36</v>
      </c>
      <c r="F64" s="4" t="s">
        <v>57</v>
      </c>
      <c r="G64" s="4">
        <v>6</v>
      </c>
      <c r="H64" s="4" t="s">
        <v>63</v>
      </c>
      <c r="I64" s="4">
        <v>1</v>
      </c>
      <c r="J64" s="16" t="s">
        <v>32</v>
      </c>
      <c r="K64" s="17">
        <v>45901</v>
      </c>
      <c r="L64" t="s">
        <v>91</v>
      </c>
      <c r="M64" s="16" t="s">
        <v>92</v>
      </c>
      <c r="N64" s="16" t="s">
        <v>93</v>
      </c>
      <c r="O64" s="4" t="str">
        <f t="shared" si="6"/>
        <v>WtLpRs6</v>
      </c>
    </row>
    <row r="65" customHeight="1" spans="1:15">
      <c r="A65" s="3" t="str">
        <f t="shared" si="4"/>
        <v>KoLpRs1</v>
      </c>
      <c r="C65" s="3" t="str">
        <f t="shared" si="5"/>
        <v>KoLpRs</v>
      </c>
      <c r="D65" t="s">
        <v>50</v>
      </c>
      <c r="E65" s="5" t="s">
        <v>36</v>
      </c>
      <c r="F65" s="4" t="s">
        <v>57</v>
      </c>
      <c r="G65" s="4">
        <v>1</v>
      </c>
      <c r="H65" s="4" t="s">
        <v>63</v>
      </c>
      <c r="I65" s="4">
        <v>1</v>
      </c>
      <c r="J65" s="16" t="s">
        <v>32</v>
      </c>
      <c r="K65" s="17">
        <v>45901</v>
      </c>
      <c r="L65" t="s">
        <v>91</v>
      </c>
      <c r="M65" s="16" t="s">
        <v>92</v>
      </c>
      <c r="N65" s="16" t="s">
        <v>93</v>
      </c>
      <c r="O65" s="4" t="str">
        <f t="shared" si="6"/>
        <v>KoLpRs1</v>
      </c>
    </row>
    <row r="66" customHeight="1" spans="1:15">
      <c r="A66" s="3" t="str">
        <f t="shared" si="4"/>
        <v>KoLpRs2</v>
      </c>
      <c r="C66" s="3" t="str">
        <f t="shared" si="5"/>
        <v>KoLpRs</v>
      </c>
      <c r="D66" t="s">
        <v>50</v>
      </c>
      <c r="E66" s="5" t="s">
        <v>36</v>
      </c>
      <c r="F66" s="4" t="s">
        <v>57</v>
      </c>
      <c r="G66" s="4">
        <v>2</v>
      </c>
      <c r="H66" s="4" t="s">
        <v>63</v>
      </c>
      <c r="I66" s="4">
        <v>1</v>
      </c>
      <c r="J66" s="16" t="s">
        <v>32</v>
      </c>
      <c r="K66" s="17">
        <v>45901</v>
      </c>
      <c r="L66" t="s">
        <v>91</v>
      </c>
      <c r="M66" s="16" t="s">
        <v>92</v>
      </c>
      <c r="N66" s="16" t="s">
        <v>93</v>
      </c>
      <c r="O66" s="4" t="str">
        <f t="shared" si="6"/>
        <v>KoLpRs2</v>
      </c>
    </row>
    <row r="67" customHeight="1" spans="1:15">
      <c r="A67" s="3" t="str">
        <f t="shared" si="4"/>
        <v>KoLpRs3</v>
      </c>
      <c r="C67" s="3" t="str">
        <f t="shared" si="5"/>
        <v>KoLpRs</v>
      </c>
      <c r="D67" t="s">
        <v>50</v>
      </c>
      <c r="E67" s="5" t="s">
        <v>36</v>
      </c>
      <c r="F67" s="4" t="s">
        <v>57</v>
      </c>
      <c r="G67" s="4">
        <v>3</v>
      </c>
      <c r="H67" s="4" t="s">
        <v>63</v>
      </c>
      <c r="I67" s="4">
        <v>1</v>
      </c>
      <c r="J67" s="16" t="s">
        <v>32</v>
      </c>
      <c r="K67" s="17">
        <v>45901</v>
      </c>
      <c r="L67" t="s">
        <v>91</v>
      </c>
      <c r="M67" s="16" t="s">
        <v>92</v>
      </c>
      <c r="N67" s="16" t="s">
        <v>93</v>
      </c>
      <c r="O67" s="4" t="str">
        <f t="shared" si="6"/>
        <v>KoLpRs3</v>
      </c>
    </row>
    <row r="68" customHeight="1" spans="1:15">
      <c r="A68" s="3" t="str">
        <f t="shared" si="4"/>
        <v>KoLpRs4</v>
      </c>
      <c r="C68" s="3" t="str">
        <f t="shared" si="5"/>
        <v>KoLpRs</v>
      </c>
      <c r="D68" t="s">
        <v>50</v>
      </c>
      <c r="E68" s="5" t="s">
        <v>36</v>
      </c>
      <c r="F68" s="4" t="s">
        <v>57</v>
      </c>
      <c r="G68" s="4">
        <v>4</v>
      </c>
      <c r="H68" s="4" t="s">
        <v>63</v>
      </c>
      <c r="I68" s="4">
        <v>1</v>
      </c>
      <c r="J68" s="16" t="s">
        <v>32</v>
      </c>
      <c r="K68" s="17">
        <v>45901</v>
      </c>
      <c r="L68" t="s">
        <v>91</v>
      </c>
      <c r="M68" s="16" t="s">
        <v>92</v>
      </c>
      <c r="N68" s="16" t="s">
        <v>93</v>
      </c>
      <c r="O68" s="4" t="str">
        <f t="shared" si="6"/>
        <v>KoLpRs4</v>
      </c>
    </row>
    <row r="69" customHeight="1" spans="1:15">
      <c r="A69" s="3" t="str">
        <f t="shared" si="4"/>
        <v>KoLpRs5</v>
      </c>
      <c r="C69" s="3" t="str">
        <f t="shared" si="5"/>
        <v>KoLpRs</v>
      </c>
      <c r="D69" t="s">
        <v>50</v>
      </c>
      <c r="E69" s="5" t="s">
        <v>36</v>
      </c>
      <c r="F69" s="4" t="s">
        <v>57</v>
      </c>
      <c r="G69" s="4">
        <v>5</v>
      </c>
      <c r="H69" s="4" t="s">
        <v>63</v>
      </c>
      <c r="I69" s="4">
        <v>1</v>
      </c>
      <c r="J69" s="16" t="s">
        <v>32</v>
      </c>
      <c r="K69" s="17">
        <v>45901</v>
      </c>
      <c r="L69" t="s">
        <v>91</v>
      </c>
      <c r="M69" s="16" t="s">
        <v>92</v>
      </c>
      <c r="N69" s="16" t="s">
        <v>93</v>
      </c>
      <c r="O69" s="4" t="str">
        <f t="shared" si="6"/>
        <v>KoLpRs5</v>
      </c>
    </row>
    <row r="70" customHeight="1" spans="1:15">
      <c r="A70" s="3" t="str">
        <f t="shared" si="4"/>
        <v>KoLpRs6</v>
      </c>
      <c r="C70" s="3" t="str">
        <f t="shared" si="5"/>
        <v>KoLpRs</v>
      </c>
      <c r="D70" t="s">
        <v>50</v>
      </c>
      <c r="E70" s="5" t="s">
        <v>36</v>
      </c>
      <c r="F70" s="4" t="s">
        <v>57</v>
      </c>
      <c r="G70" s="4">
        <v>6</v>
      </c>
      <c r="H70" s="4" t="s">
        <v>63</v>
      </c>
      <c r="I70" s="4">
        <v>1</v>
      </c>
      <c r="J70" s="16" t="s">
        <v>32</v>
      </c>
      <c r="K70" s="17">
        <v>45901</v>
      </c>
      <c r="L70" t="s">
        <v>91</v>
      </c>
      <c r="M70" s="16" t="s">
        <v>92</v>
      </c>
      <c r="N70" s="16" t="s">
        <v>93</v>
      </c>
      <c r="O70" s="4" t="str">
        <f t="shared" si="6"/>
        <v>KoLpRs6</v>
      </c>
    </row>
    <row r="71" customHeight="1" spans="1:15">
      <c r="A71" s="3" t="str">
        <f t="shared" si="4"/>
        <v>OeLpRs1</v>
      </c>
      <c r="C71" s="3" t="str">
        <f t="shared" si="5"/>
        <v>OeLpRs</v>
      </c>
      <c r="D71" t="s">
        <v>47</v>
      </c>
      <c r="E71" s="5" t="s">
        <v>36</v>
      </c>
      <c r="F71" s="4" t="s">
        <v>57</v>
      </c>
      <c r="G71" s="4">
        <v>1</v>
      </c>
      <c r="H71" s="4" t="s">
        <v>63</v>
      </c>
      <c r="I71" s="4">
        <v>1</v>
      </c>
      <c r="J71" s="16" t="s">
        <v>32</v>
      </c>
      <c r="K71" s="17">
        <v>45901</v>
      </c>
      <c r="L71" t="s">
        <v>91</v>
      </c>
      <c r="M71" s="16" t="s">
        <v>92</v>
      </c>
      <c r="N71" s="16" t="s">
        <v>93</v>
      </c>
      <c r="O71" s="4" t="str">
        <f t="shared" si="6"/>
        <v>OeLpRs1</v>
      </c>
    </row>
    <row r="72" customHeight="1" spans="1:15">
      <c r="A72" s="3" t="str">
        <f t="shared" si="4"/>
        <v>OeLpRs2</v>
      </c>
      <c r="C72" s="3" t="str">
        <f t="shared" si="5"/>
        <v>OeLpRs</v>
      </c>
      <c r="D72" t="s">
        <v>47</v>
      </c>
      <c r="E72" s="5" t="s">
        <v>36</v>
      </c>
      <c r="F72" s="4" t="s">
        <v>57</v>
      </c>
      <c r="G72" s="4">
        <v>2</v>
      </c>
      <c r="H72" s="4" t="s">
        <v>63</v>
      </c>
      <c r="I72" s="4">
        <v>1</v>
      </c>
      <c r="J72" s="16" t="s">
        <v>32</v>
      </c>
      <c r="K72" s="17">
        <v>45901</v>
      </c>
      <c r="L72" t="s">
        <v>91</v>
      </c>
      <c r="M72" s="16" t="s">
        <v>92</v>
      </c>
      <c r="N72" s="16" t="s">
        <v>93</v>
      </c>
      <c r="O72" s="4" t="str">
        <f t="shared" si="6"/>
        <v>OeLpRs2</v>
      </c>
    </row>
    <row r="73" customHeight="1" spans="1:15">
      <c r="A73" s="3" t="str">
        <f t="shared" si="4"/>
        <v>OeLpRs3</v>
      </c>
      <c r="C73" s="3" t="str">
        <f t="shared" si="5"/>
        <v>OeLpRs</v>
      </c>
      <c r="D73" t="s">
        <v>47</v>
      </c>
      <c r="E73" s="5" t="s">
        <v>36</v>
      </c>
      <c r="F73" s="4" t="s">
        <v>57</v>
      </c>
      <c r="G73" s="4">
        <v>3</v>
      </c>
      <c r="H73" s="4" t="s">
        <v>63</v>
      </c>
      <c r="I73" s="4">
        <v>1</v>
      </c>
      <c r="J73" s="16" t="s">
        <v>32</v>
      </c>
      <c r="K73" s="17">
        <v>45901</v>
      </c>
      <c r="L73" t="s">
        <v>91</v>
      </c>
      <c r="M73" s="16" t="s">
        <v>92</v>
      </c>
      <c r="N73" s="16" t="s">
        <v>93</v>
      </c>
      <c r="O73" s="4" t="str">
        <f t="shared" si="6"/>
        <v>OeLpRs3</v>
      </c>
    </row>
    <row r="74" customHeight="1" spans="1:15">
      <c r="A74" s="3" t="str">
        <f t="shared" si="4"/>
        <v>OeLpRs4</v>
      </c>
      <c r="C74" s="3" t="str">
        <f t="shared" si="5"/>
        <v>OeLpRs</v>
      </c>
      <c r="D74" t="s">
        <v>47</v>
      </c>
      <c r="E74" s="5" t="s">
        <v>36</v>
      </c>
      <c r="F74" s="4" t="s">
        <v>57</v>
      </c>
      <c r="G74" s="4">
        <v>4</v>
      </c>
      <c r="H74" s="4" t="s">
        <v>63</v>
      </c>
      <c r="I74" s="4">
        <v>1</v>
      </c>
      <c r="J74" s="16" t="s">
        <v>32</v>
      </c>
      <c r="K74" s="17">
        <v>45901</v>
      </c>
      <c r="L74" t="s">
        <v>91</v>
      </c>
      <c r="M74" s="16" t="s">
        <v>92</v>
      </c>
      <c r="N74" s="16" t="s">
        <v>93</v>
      </c>
      <c r="O74" s="4" t="str">
        <f t="shared" si="6"/>
        <v>OeLpRs4</v>
      </c>
    </row>
    <row r="75" customHeight="1" spans="1:15">
      <c r="A75" s="3" t="str">
        <f t="shared" si="4"/>
        <v>OeLpRs5</v>
      </c>
      <c r="C75" s="3" t="str">
        <f t="shared" si="5"/>
        <v>OeLpRs</v>
      </c>
      <c r="D75" t="s">
        <v>47</v>
      </c>
      <c r="E75" s="5" t="s">
        <v>36</v>
      </c>
      <c r="F75" s="4" t="s">
        <v>57</v>
      </c>
      <c r="G75" s="4">
        <v>5</v>
      </c>
      <c r="H75" s="4" t="s">
        <v>63</v>
      </c>
      <c r="I75" s="4">
        <v>1</v>
      </c>
      <c r="J75" s="16" t="s">
        <v>32</v>
      </c>
      <c r="K75" s="17">
        <v>45901</v>
      </c>
      <c r="L75" t="s">
        <v>91</v>
      </c>
      <c r="M75" s="16" t="s">
        <v>92</v>
      </c>
      <c r="N75" s="16" t="s">
        <v>93</v>
      </c>
      <c r="O75" s="4" t="str">
        <f t="shared" si="6"/>
        <v>OeLpRs5</v>
      </c>
    </row>
    <row r="76" customHeight="1" spans="1:15">
      <c r="A76" s="3" t="str">
        <f t="shared" si="4"/>
        <v>OeLpRs6</v>
      </c>
      <c r="C76" s="3" t="str">
        <f t="shared" si="5"/>
        <v>OeLpRs</v>
      </c>
      <c r="D76" t="s">
        <v>47</v>
      </c>
      <c r="E76" s="5" t="s">
        <v>36</v>
      </c>
      <c r="F76" s="4" t="s">
        <v>57</v>
      </c>
      <c r="G76" s="4">
        <v>6</v>
      </c>
      <c r="H76" s="4" t="s">
        <v>63</v>
      </c>
      <c r="I76" s="4">
        <v>1</v>
      </c>
      <c r="J76" s="16" t="s">
        <v>32</v>
      </c>
      <c r="K76" s="17">
        <v>45901</v>
      </c>
      <c r="L76" t="s">
        <v>91</v>
      </c>
      <c r="M76" s="16" t="s">
        <v>92</v>
      </c>
      <c r="N76" s="16" t="s">
        <v>93</v>
      </c>
      <c r="O76" s="4" t="str">
        <f t="shared" si="6"/>
        <v>OeLpRs6</v>
      </c>
    </row>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65"/>
  <sheetViews>
    <sheetView zoomScale="130" zoomScaleNormal="130" workbookViewId="0">
      <selection activeCell="A17" sqref="A17:B17"/>
    </sheetView>
  </sheetViews>
  <sheetFormatPr defaultColWidth="9" defaultRowHeight="14.25" outlineLevelCol="5"/>
  <cols>
    <col min="1" max="1" width="16.4" customWidth="1"/>
    <col min="2" max="2" width="14" customWidth="1"/>
    <col min="3" max="3" width="49.075" customWidth="1"/>
    <col min="4" max="4" width="19.6666666666667" customWidth="1"/>
    <col min="5" max="5" width="15.0666666666667" customWidth="1"/>
    <col min="6" max="6" width="11.7333333333333" style="4" customWidth="1"/>
  </cols>
  <sheetData>
    <row r="1" ht="30" spans="1:6">
      <c r="A1" s="2" t="s">
        <v>129</v>
      </c>
      <c r="B1" s="8"/>
      <c r="C1" s="8"/>
      <c r="F1"/>
    </row>
    <row r="2" spans="1:6">
      <c r="A2" t="s">
        <v>130</v>
      </c>
      <c r="F2" s="9"/>
    </row>
    <row r="3" spans="1:6">
      <c r="A3" t="s">
        <v>131</v>
      </c>
      <c r="D3" s="9"/>
      <c r="E3" s="10"/>
    </row>
    <row r="4" spans="1:6">
      <c r="A4" s="1" t="s">
        <v>132</v>
      </c>
      <c r="B4" s="1" t="s">
        <v>133</v>
      </c>
      <c r="C4" s="1" t="s">
        <v>15</v>
      </c>
    </row>
    <row r="5" spans="1:6">
      <c r="A5" s="1" t="s">
        <v>134</v>
      </c>
      <c r="B5" s="1" t="s">
        <v>135</v>
      </c>
      <c r="C5" s="1" t="s">
        <v>136</v>
      </c>
    </row>
    <row r="6" spans="1:6">
      <c r="A6" s="3"/>
      <c r="B6" s="3"/>
    </row>
    <row r="7" spans="1:6">
      <c r="A7" s="3"/>
      <c r="B7" s="3"/>
    </row>
    <row r="8" spans="1:6">
      <c r="A8" s="3"/>
      <c r="B8" s="3"/>
    </row>
    <row r="9" spans="1:6">
      <c r="A9" s="3"/>
      <c r="B9" s="3"/>
    </row>
    <row r="10" spans="1:6">
      <c r="A10" s="3"/>
      <c r="B10" s="3"/>
    </row>
    <row r="12" spans="1:6">
      <c r="B12" s="4"/>
    </row>
    <row r="13" spans="1:6">
      <c r="B13" s="4"/>
    </row>
    <row r="14" spans="1:6">
      <c r="A14" t="s">
        <v>31</v>
      </c>
      <c r="B14" s="4"/>
    </row>
    <row r="15" spans="1:6">
      <c r="A15" s="11" t="s">
        <v>137</v>
      </c>
      <c r="B15" s="12" t="s">
        <v>138</v>
      </c>
      <c r="C15" s="5" t="s">
        <v>139</v>
      </c>
    </row>
    <row r="16" ht="13.5" customHeight="1" spans="1:6">
      <c r="A16" s="5" t="s">
        <v>140</v>
      </c>
      <c r="B16" s="12" t="s">
        <v>138</v>
      </c>
      <c r="C16" s="5" t="s">
        <v>141</v>
      </c>
    </row>
    <row r="17" spans="1:3">
      <c r="A17" s="11" t="s">
        <v>142</v>
      </c>
      <c r="B17" s="12" t="s">
        <v>143</v>
      </c>
      <c r="C17" t="s">
        <v>144</v>
      </c>
    </row>
    <row r="18" spans="1:3">
      <c r="A18" s="5" t="s">
        <v>145</v>
      </c>
      <c r="B18" s="12" t="s">
        <v>143</v>
      </c>
      <c r="C18" t="s">
        <v>146</v>
      </c>
    </row>
    <row r="19" spans="1:3">
      <c r="A19" s="12" t="s">
        <v>138</v>
      </c>
      <c r="B19" s="12" t="s">
        <v>143</v>
      </c>
      <c r="C19" s="5" t="s">
        <v>147</v>
      </c>
    </row>
    <row r="20" spans="1:3">
      <c r="A20" s="11" t="s">
        <v>148</v>
      </c>
      <c r="B20" s="12" t="s">
        <v>149</v>
      </c>
      <c r="C20" s="5" t="s">
        <v>150</v>
      </c>
    </row>
    <row r="21" spans="1:3">
      <c r="A21" s="5" t="s">
        <v>151</v>
      </c>
      <c r="B21" s="12" t="s">
        <v>149</v>
      </c>
      <c r="C21" s="5" t="s">
        <v>152</v>
      </c>
    </row>
    <row r="22" spans="1:3">
      <c r="A22" s="11" t="s">
        <v>153</v>
      </c>
      <c r="B22" s="12" t="s">
        <v>154</v>
      </c>
      <c r="C22" t="s">
        <v>155</v>
      </c>
    </row>
    <row r="23" spans="1:3">
      <c r="A23" s="5" t="s">
        <v>156</v>
      </c>
      <c r="B23" s="12" t="s">
        <v>154</v>
      </c>
      <c r="C23" t="s">
        <v>157</v>
      </c>
    </row>
    <row r="24" spans="1:3">
      <c r="A24" s="12" t="s">
        <v>149</v>
      </c>
      <c r="B24" s="12" t="s">
        <v>154</v>
      </c>
      <c r="C24" s="5" t="s">
        <v>158</v>
      </c>
    </row>
    <row r="25" spans="1:3">
      <c r="A25" s="4"/>
    </row>
    <row r="26" spans="1:3">
      <c r="A26" s="4"/>
    </row>
    <row r="31" spans="1:3">
      <c r="B31" s="4"/>
    </row>
    <row r="32" spans="1:3">
      <c r="B32" s="4"/>
    </row>
    <row r="33" spans="1:2">
      <c r="B33" s="4"/>
    </row>
    <row r="34" spans="1:2">
      <c r="B34" s="4"/>
    </row>
    <row r="35" spans="1:2">
      <c r="B35" s="4"/>
    </row>
    <row r="36" spans="1:2">
      <c r="B36" s="4"/>
    </row>
    <row r="41" spans="1:2">
      <c r="A41" s="3"/>
    </row>
    <row r="42" spans="1:2">
      <c r="A42" s="4"/>
    </row>
    <row r="43" spans="1:2">
      <c r="A43" s="4"/>
    </row>
    <row r="44" spans="1:2">
      <c r="A44" s="4"/>
    </row>
    <row r="45" spans="1:2">
      <c r="A45" s="4"/>
    </row>
    <row r="46" spans="1:2">
      <c r="A46" s="4"/>
    </row>
    <row r="47" spans="1:2">
      <c r="A47" s="4"/>
    </row>
    <row r="52" spans="1:6">
      <c r="B52" s="4"/>
    </row>
    <row r="53" spans="1:6">
      <c r="B53" s="4"/>
    </row>
    <row r="54" spans="1:6">
      <c r="B54" s="4"/>
      <c r="F54"/>
    </row>
    <row r="55" spans="1:6">
      <c r="B55" s="4"/>
      <c r="F55"/>
    </row>
    <row r="56" spans="1:6">
      <c r="B56" s="4"/>
      <c r="F56"/>
    </row>
    <row r="57" spans="1:6">
      <c r="B57" s="4"/>
      <c r="F57"/>
    </row>
    <row r="58" spans="1:6">
      <c r="F58"/>
    </row>
    <row r="59" spans="1:6">
      <c r="A59" s="3"/>
      <c r="F59"/>
    </row>
    <row r="60" spans="1:6">
      <c r="A60" s="4"/>
      <c r="F60"/>
    </row>
    <row r="61" spans="1:6">
      <c r="A61" s="4"/>
      <c r="F61"/>
    </row>
    <row r="62" spans="1:6">
      <c r="A62" s="4"/>
      <c r="F62"/>
    </row>
    <row r="63" spans="1:6">
      <c r="A63" s="4"/>
      <c r="F63"/>
    </row>
    <row r="64" spans="1:6">
      <c r="A64" s="4"/>
      <c r="F64"/>
    </row>
    <row r="65" spans="1:6">
      <c r="A65" s="4"/>
      <c r="F65"/>
    </row>
    <row r="66" spans="1:6">
      <c r="F66"/>
    </row>
    <row r="67" spans="1:6">
      <c r="F67"/>
    </row>
    <row r="68" spans="1:6">
      <c r="F68"/>
    </row>
    <row r="69" spans="1:6">
      <c r="F69"/>
    </row>
    <row r="70" spans="1:6">
      <c r="B70" s="4"/>
      <c r="F70"/>
    </row>
    <row r="71" spans="1:6">
      <c r="B71" s="4"/>
      <c r="F71"/>
    </row>
    <row r="72" spans="1:6">
      <c r="B72" s="4"/>
      <c r="F72"/>
    </row>
    <row r="73" spans="1:6">
      <c r="B73" s="4"/>
      <c r="F73"/>
    </row>
    <row r="74" spans="1:6">
      <c r="B74" s="4"/>
      <c r="F74"/>
    </row>
    <row r="75" spans="1:6">
      <c r="B75" s="4"/>
      <c r="F75"/>
    </row>
    <row r="76" spans="1:6">
      <c r="F76"/>
    </row>
    <row r="77" spans="1:6">
      <c r="F77"/>
    </row>
    <row r="78" spans="1:6">
      <c r="F78"/>
    </row>
    <row r="79" spans="1:6">
      <c r="F79"/>
    </row>
    <row r="80" spans="1:6">
      <c r="F80"/>
    </row>
    <row r="81" spans="1:6">
      <c r="F81"/>
    </row>
    <row r="82" spans="1:6">
      <c r="A82" s="1" t="s">
        <v>31</v>
      </c>
      <c r="F82"/>
    </row>
    <row r="83" spans="1:6">
      <c r="A83" s="1" t="s">
        <v>132</v>
      </c>
      <c r="B83" s="1" t="s">
        <v>133</v>
      </c>
      <c r="C83" s="1" t="s">
        <v>15</v>
      </c>
      <c r="F83"/>
    </row>
    <row r="84" spans="1:6">
      <c r="A84" s="1" t="s">
        <v>134</v>
      </c>
      <c r="B84" s="1" t="s">
        <v>134</v>
      </c>
      <c r="C84" s="1" t="s">
        <v>136</v>
      </c>
      <c r="F84"/>
    </row>
    <row r="85" spans="1:6">
      <c r="A85" t="s">
        <v>159</v>
      </c>
      <c r="B85" t="s">
        <v>160</v>
      </c>
      <c r="C85" t="s">
        <v>161</v>
      </c>
      <c r="F85"/>
    </row>
    <row r="86" spans="1:6">
      <c r="A86" t="s">
        <v>162</v>
      </c>
      <c r="B86" t="s">
        <v>159</v>
      </c>
      <c r="C86" t="s">
        <v>163</v>
      </c>
      <c r="F86"/>
    </row>
    <row r="87" spans="1:6">
      <c r="A87" t="s">
        <v>164</v>
      </c>
      <c r="B87" t="s">
        <v>159</v>
      </c>
      <c r="C87" t="s">
        <v>165</v>
      </c>
      <c r="F87"/>
    </row>
    <row r="88" spans="1:6">
      <c r="A88" t="s">
        <v>164</v>
      </c>
      <c r="B88" t="s">
        <v>162</v>
      </c>
      <c r="C88" t="s">
        <v>166</v>
      </c>
      <c r="F88"/>
    </row>
    <row r="89" spans="1:6">
      <c r="F89"/>
    </row>
    <row r="90" spans="1:6">
      <c r="F90"/>
    </row>
    <row r="91" spans="1:6">
      <c r="F91"/>
    </row>
    <row r="92" spans="1:6">
      <c r="F92"/>
    </row>
    <row r="93" spans="1:6">
      <c r="F93"/>
    </row>
    <row r="94" spans="1:6">
      <c r="F94"/>
    </row>
    <row r="95" spans="1:6">
      <c r="F95"/>
    </row>
    <row r="96" spans="1:6">
      <c r="F96"/>
    </row>
    <row r="97" spans="6:6">
      <c r="F97"/>
    </row>
    <row r="98" spans="6:6">
      <c r="F98"/>
    </row>
    <row r="99" spans="6:6">
      <c r="F99"/>
    </row>
    <row r="100" spans="6:6">
      <c r="F100"/>
    </row>
    <row r="101" spans="6:6">
      <c r="F101"/>
    </row>
    <row r="102" spans="6:6">
      <c r="F102"/>
    </row>
    <row r="103" spans="6:6">
      <c r="F103"/>
    </row>
    <row r="104" spans="6:6">
      <c r="F104"/>
    </row>
    <row r="105" spans="6:6">
      <c r="F105"/>
    </row>
    <row r="106" spans="6:6">
      <c r="F106"/>
    </row>
    <row r="107" spans="6:6">
      <c r="F107"/>
    </row>
    <row r="108" spans="6:6">
      <c r="F108"/>
    </row>
    <row r="109" spans="6:6">
      <c r="F109"/>
    </row>
    <row r="110" spans="6:6">
      <c r="F110"/>
    </row>
    <row r="111" spans="6:6">
      <c r="F111"/>
    </row>
    <row r="112" spans="6: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360" spans="6:6">
      <c r="F360"/>
    </row>
    <row r="361" spans="6:6">
      <c r="F361"/>
    </row>
    <row r="362" spans="6:6">
      <c r="F362"/>
    </row>
    <row r="363" spans="6:6">
      <c r="F363"/>
    </row>
    <row r="364" spans="6:6">
      <c r="F364"/>
    </row>
    <row r="365" spans="6:6">
      <c r="F365"/>
    </row>
    <row r="366" spans="6:6">
      <c r="F366"/>
    </row>
    <row r="367" spans="6:6">
      <c r="F367"/>
    </row>
    <row r="368" spans="6:6">
      <c r="F368"/>
    </row>
    <row r="369" spans="6:6">
      <c r="F369"/>
    </row>
    <row r="370" spans="6:6">
      <c r="F370"/>
    </row>
    <row r="371" spans="6:6">
      <c r="F371"/>
    </row>
    <row r="372" spans="6:6">
      <c r="F372"/>
    </row>
    <row r="373" spans="6:6">
      <c r="F373"/>
    </row>
    <row r="374" spans="6:6">
      <c r="F374"/>
    </row>
    <row r="375" spans="6:6">
      <c r="F375"/>
    </row>
    <row r="376" spans="6:6">
      <c r="F376"/>
    </row>
    <row r="377" spans="6:6">
      <c r="F377"/>
    </row>
    <row r="378" spans="6:6">
      <c r="F378"/>
    </row>
    <row r="379" spans="6:6">
      <c r="F379"/>
    </row>
    <row r="380" spans="6:6">
      <c r="F380"/>
    </row>
    <row r="381" spans="6:6">
      <c r="F381"/>
    </row>
    <row r="382" spans="6:6">
      <c r="F382"/>
    </row>
    <row r="383" spans="6:6">
      <c r="F383"/>
    </row>
    <row r="384" spans="6:6">
      <c r="F384"/>
    </row>
    <row r="385" spans="6:6">
      <c r="F385"/>
    </row>
    <row r="386" spans="6:6">
      <c r="F386"/>
    </row>
    <row r="387" spans="6:6">
      <c r="F387"/>
    </row>
    <row r="388" spans="6:6">
      <c r="F388"/>
    </row>
    <row r="389" spans="6:6">
      <c r="F389"/>
    </row>
    <row r="390" spans="6:6">
      <c r="F390"/>
    </row>
    <row r="391" spans="6:6">
      <c r="F391"/>
    </row>
    <row r="392" spans="6:6">
      <c r="F392"/>
    </row>
    <row r="393" spans="6:6">
      <c r="F393"/>
    </row>
    <row r="394" spans="6:6">
      <c r="F394"/>
    </row>
    <row r="395" spans="6:6">
      <c r="F395"/>
    </row>
    <row r="396" spans="6:6">
      <c r="F396"/>
    </row>
    <row r="397" spans="6:6">
      <c r="F397"/>
    </row>
    <row r="398" spans="6:6">
      <c r="F398"/>
    </row>
    <row r="399" spans="6:6">
      <c r="F399"/>
    </row>
    <row r="400" spans="6:6">
      <c r="F400"/>
    </row>
    <row r="401" spans="6:6">
      <c r="F401"/>
    </row>
    <row r="402" spans="6:6">
      <c r="F402"/>
    </row>
    <row r="403" spans="6:6">
      <c r="F403"/>
    </row>
    <row r="404" spans="6:6">
      <c r="F404"/>
    </row>
    <row r="405" spans="6:6">
      <c r="F405"/>
    </row>
    <row r="406" spans="6:6">
      <c r="F406"/>
    </row>
    <row r="407" spans="6:6">
      <c r="F407"/>
    </row>
    <row r="408" spans="6:6">
      <c r="F408"/>
    </row>
    <row r="409" spans="6:6">
      <c r="F409"/>
    </row>
    <row r="410" spans="6:6">
      <c r="F410"/>
    </row>
    <row r="411" spans="6:6">
      <c r="F411"/>
    </row>
    <row r="412" spans="6:6">
      <c r="F412"/>
    </row>
    <row r="413" spans="6:6">
      <c r="F413"/>
    </row>
    <row r="414" spans="6:6">
      <c r="F414"/>
    </row>
    <row r="415" spans="6:6">
      <c r="F415"/>
    </row>
    <row r="416" spans="6:6">
      <c r="F416"/>
    </row>
    <row r="417" spans="6:6">
      <c r="F417"/>
    </row>
    <row r="418" spans="6:6">
      <c r="F418"/>
    </row>
    <row r="419" spans="6:6">
      <c r="F419"/>
    </row>
    <row r="420" spans="6:6">
      <c r="F420"/>
    </row>
    <row r="421" spans="6:6">
      <c r="F421"/>
    </row>
    <row r="422" spans="6:6">
      <c r="F422"/>
    </row>
    <row r="423" spans="6:6">
      <c r="F423"/>
    </row>
    <row r="424" spans="6:6">
      <c r="F424"/>
    </row>
    <row r="425" spans="6:6">
      <c r="F425"/>
    </row>
    <row r="426" spans="6:6">
      <c r="F426"/>
    </row>
    <row r="427" spans="6:6">
      <c r="F427"/>
    </row>
    <row r="428" spans="6:6">
      <c r="F428"/>
    </row>
    <row r="429" spans="6:6">
      <c r="F429"/>
    </row>
    <row r="430" spans="6:6">
      <c r="F430"/>
    </row>
    <row r="431" spans="6:6">
      <c r="F431"/>
    </row>
    <row r="432" spans="6:6">
      <c r="F432"/>
    </row>
    <row r="433" spans="6:6">
      <c r="F433"/>
    </row>
    <row r="434" spans="6:6">
      <c r="F434"/>
    </row>
    <row r="435" spans="6:6">
      <c r="F435"/>
    </row>
    <row r="436" spans="6:6">
      <c r="F436"/>
    </row>
    <row r="437" spans="6:6">
      <c r="F437"/>
    </row>
    <row r="438" spans="6:6">
      <c r="F438"/>
    </row>
    <row r="439" spans="6:6">
      <c r="F439"/>
    </row>
    <row r="440" spans="6:6">
      <c r="F440"/>
    </row>
    <row r="441" spans="6:6">
      <c r="F441"/>
    </row>
    <row r="442" spans="6:6">
      <c r="F442"/>
    </row>
    <row r="443" spans="6:6">
      <c r="F443"/>
    </row>
    <row r="444" spans="6:6">
      <c r="F444"/>
    </row>
    <row r="445" spans="6:6">
      <c r="F445"/>
    </row>
    <row r="446" spans="6:6">
      <c r="F446"/>
    </row>
    <row r="447" spans="6:6">
      <c r="F447"/>
    </row>
    <row r="448" spans="6:6">
      <c r="F448"/>
    </row>
    <row r="449" spans="6:6">
      <c r="F449"/>
    </row>
    <row r="450" spans="6:6">
      <c r="F450"/>
    </row>
    <row r="451" spans="6:6">
      <c r="F451"/>
    </row>
    <row r="452" spans="6:6">
      <c r="F452"/>
    </row>
    <row r="453" spans="6:6">
      <c r="F453"/>
    </row>
    <row r="454" spans="6:6">
      <c r="F454"/>
    </row>
    <row r="455" spans="6:6">
      <c r="F455"/>
    </row>
    <row r="456" spans="6:6">
      <c r="F456"/>
    </row>
    <row r="457" spans="6:6">
      <c r="F457"/>
    </row>
    <row r="458" spans="6:6">
      <c r="F458"/>
    </row>
    <row r="459" spans="6:6">
      <c r="F459"/>
    </row>
    <row r="460" spans="6:6">
      <c r="F460"/>
    </row>
    <row r="461" spans="6:6">
      <c r="F461"/>
    </row>
    <row r="462" spans="6:6">
      <c r="F462"/>
    </row>
    <row r="463" spans="6:6">
      <c r="F463"/>
    </row>
    <row r="464" spans="6:6">
      <c r="F464"/>
    </row>
    <row r="465" spans="6:6">
      <c r="F465"/>
    </row>
    <row r="466" spans="6:6">
      <c r="F466"/>
    </row>
    <row r="467" spans="6:6">
      <c r="F467"/>
    </row>
    <row r="468" spans="6:6">
      <c r="F468"/>
    </row>
    <row r="469" spans="6:6">
      <c r="F469"/>
    </row>
    <row r="470" spans="6:6">
      <c r="F470"/>
    </row>
    <row r="471" spans="6:6">
      <c r="F471"/>
    </row>
    <row r="472" spans="6:6">
      <c r="F472"/>
    </row>
    <row r="473" spans="6:6">
      <c r="F473"/>
    </row>
    <row r="474" spans="6:6">
      <c r="F474"/>
    </row>
    <row r="475" spans="6:6">
      <c r="F475"/>
    </row>
    <row r="476" spans="6:6">
      <c r="F476"/>
    </row>
    <row r="477" spans="6:6">
      <c r="F477"/>
    </row>
    <row r="478" spans="6:6">
      <c r="F478"/>
    </row>
    <row r="479" spans="6:6">
      <c r="F479"/>
    </row>
    <row r="480" spans="6:6">
      <c r="F480"/>
    </row>
    <row r="481" spans="6:6">
      <c r="F481"/>
    </row>
    <row r="482" spans="6:6">
      <c r="F482"/>
    </row>
    <row r="483" spans="6:6">
      <c r="F483"/>
    </row>
    <row r="484" spans="6:6">
      <c r="F484"/>
    </row>
    <row r="485" spans="6:6">
      <c r="F485"/>
    </row>
    <row r="486" spans="6:6">
      <c r="F486"/>
    </row>
    <row r="487" spans="6:6">
      <c r="F487"/>
    </row>
    <row r="488" spans="6:6">
      <c r="F488"/>
    </row>
    <row r="489" spans="6:6">
      <c r="F489"/>
    </row>
    <row r="490" spans="6:6">
      <c r="F490"/>
    </row>
    <row r="491" spans="6:6">
      <c r="F491"/>
    </row>
    <row r="492" spans="6:6">
      <c r="F492"/>
    </row>
    <row r="493" spans="6:6">
      <c r="F493"/>
    </row>
    <row r="494" spans="6:6">
      <c r="F494"/>
    </row>
    <row r="495" spans="6:6">
      <c r="F495"/>
    </row>
    <row r="496" spans="6:6">
      <c r="F496"/>
    </row>
    <row r="497" spans="6:6">
      <c r="F497"/>
    </row>
    <row r="498" spans="6:6">
      <c r="F498"/>
    </row>
    <row r="499" spans="6:6">
      <c r="F499"/>
    </row>
    <row r="500" spans="6:6">
      <c r="F500"/>
    </row>
    <row r="501" spans="6:6">
      <c r="F501"/>
    </row>
    <row r="502" spans="6:6">
      <c r="F502"/>
    </row>
    <row r="503" spans="6:6">
      <c r="F503"/>
    </row>
    <row r="504" spans="6:6">
      <c r="F504"/>
    </row>
    <row r="505" spans="6:6">
      <c r="F505"/>
    </row>
    <row r="506" spans="6:6">
      <c r="F506"/>
    </row>
    <row r="507" spans="6:6">
      <c r="F507"/>
    </row>
    <row r="508" spans="6:6">
      <c r="F508"/>
    </row>
    <row r="509" spans="6:6">
      <c r="F509"/>
    </row>
    <row r="510" spans="6:6">
      <c r="F510"/>
    </row>
    <row r="511" spans="6:6">
      <c r="F511"/>
    </row>
    <row r="512" spans="6:6">
      <c r="F512"/>
    </row>
    <row r="513" spans="6:6">
      <c r="F513"/>
    </row>
    <row r="514" spans="6:6">
      <c r="F514"/>
    </row>
    <row r="515" spans="6:6">
      <c r="F515"/>
    </row>
    <row r="516" spans="6:6">
      <c r="F516"/>
    </row>
    <row r="517" spans="6:6">
      <c r="F517"/>
    </row>
    <row r="518" spans="6:6">
      <c r="F518"/>
    </row>
    <row r="519" spans="6:6">
      <c r="F519"/>
    </row>
    <row r="520" spans="6:6">
      <c r="F520"/>
    </row>
    <row r="521" spans="6:6">
      <c r="F521"/>
    </row>
    <row r="522" spans="6:6">
      <c r="F522"/>
    </row>
    <row r="523" spans="6:6">
      <c r="F523"/>
    </row>
    <row r="524" spans="6:6">
      <c r="F524"/>
    </row>
    <row r="525" spans="6:6">
      <c r="F525"/>
    </row>
    <row r="526" spans="6:6">
      <c r="F526"/>
    </row>
    <row r="527" spans="6:6">
      <c r="F527"/>
    </row>
    <row r="528" spans="6:6">
      <c r="F528"/>
    </row>
    <row r="529" spans="6:6">
      <c r="F529"/>
    </row>
    <row r="530" spans="6:6">
      <c r="F530"/>
    </row>
    <row r="531" spans="6:6">
      <c r="F531"/>
    </row>
    <row r="532" spans="6:6">
      <c r="F532"/>
    </row>
    <row r="533" spans="6:6">
      <c r="F533"/>
    </row>
    <row r="534" spans="6:6">
      <c r="F534"/>
    </row>
    <row r="535" spans="6:6">
      <c r="F535"/>
    </row>
    <row r="536" spans="6:6">
      <c r="F536"/>
    </row>
    <row r="537" spans="6:6">
      <c r="F537"/>
    </row>
    <row r="538" spans="6:6">
      <c r="F538"/>
    </row>
    <row r="539" spans="6:6">
      <c r="F539"/>
    </row>
    <row r="540" spans="6:6">
      <c r="F540"/>
    </row>
    <row r="541" spans="6:6">
      <c r="F541"/>
    </row>
    <row r="542" spans="6:6">
      <c r="F542"/>
    </row>
    <row r="543" spans="6:6">
      <c r="F543"/>
    </row>
    <row r="544" spans="6:6">
      <c r="F544"/>
    </row>
    <row r="545" spans="6:6">
      <c r="F545"/>
    </row>
    <row r="546" spans="6:6">
      <c r="F546"/>
    </row>
    <row r="547" spans="6:6">
      <c r="F547"/>
    </row>
    <row r="548" spans="6:6">
      <c r="F548"/>
    </row>
    <row r="549" spans="6:6">
      <c r="F549"/>
    </row>
    <row r="550" spans="6:6">
      <c r="F550"/>
    </row>
    <row r="551" spans="6:6">
      <c r="F551"/>
    </row>
    <row r="552" spans="6:6">
      <c r="F552"/>
    </row>
    <row r="553" spans="6:6">
      <c r="F553"/>
    </row>
    <row r="554" spans="6:6">
      <c r="F554"/>
    </row>
    <row r="555" spans="6:6">
      <c r="F555"/>
    </row>
    <row r="556" spans="6:6">
      <c r="F556"/>
    </row>
    <row r="557" spans="6:6">
      <c r="F557"/>
    </row>
    <row r="558" spans="6:6">
      <c r="F558"/>
    </row>
    <row r="559" spans="6:6">
      <c r="F559"/>
    </row>
    <row r="560" spans="6:6">
      <c r="F560"/>
    </row>
    <row r="561" spans="6:6">
      <c r="F561"/>
    </row>
    <row r="562" spans="6:6">
      <c r="F562"/>
    </row>
    <row r="563" spans="6:6">
      <c r="F563"/>
    </row>
    <row r="564" spans="6:6">
      <c r="F564"/>
    </row>
    <row r="565" spans="6:6">
      <c r="F565"/>
    </row>
    <row r="566" spans="6:6">
      <c r="F566"/>
    </row>
    <row r="567" spans="6:6">
      <c r="F567"/>
    </row>
    <row r="568" spans="6:6">
      <c r="F568"/>
    </row>
    <row r="569" spans="6:6">
      <c r="F569"/>
    </row>
    <row r="570" spans="6:6">
      <c r="F570"/>
    </row>
    <row r="571" spans="6:6">
      <c r="F571"/>
    </row>
    <row r="572" spans="6:6">
      <c r="F572"/>
    </row>
    <row r="573" spans="6:6">
      <c r="F573"/>
    </row>
    <row r="574" spans="6:6">
      <c r="F574"/>
    </row>
    <row r="575" spans="6:6">
      <c r="F575"/>
    </row>
    <row r="576" spans="6:6">
      <c r="F576"/>
    </row>
    <row r="577" spans="6:6">
      <c r="F577"/>
    </row>
    <row r="578" spans="6:6">
      <c r="F578"/>
    </row>
    <row r="579" spans="6:6">
      <c r="F579"/>
    </row>
    <row r="580" spans="6:6">
      <c r="F580"/>
    </row>
    <row r="581" spans="6:6">
      <c r="F581"/>
    </row>
    <row r="582" spans="6:6">
      <c r="F582"/>
    </row>
    <row r="583" spans="6:6">
      <c r="F583"/>
    </row>
    <row r="584" spans="6:6">
      <c r="F584"/>
    </row>
    <row r="585" spans="6:6">
      <c r="F585"/>
    </row>
    <row r="586" spans="6:6">
      <c r="F586"/>
    </row>
    <row r="587" spans="6:6">
      <c r="F587"/>
    </row>
    <row r="588" spans="6:6">
      <c r="F588"/>
    </row>
    <row r="589" spans="6:6">
      <c r="F589"/>
    </row>
    <row r="590" spans="6:6">
      <c r="F590"/>
    </row>
    <row r="591" spans="6:6">
      <c r="F591"/>
    </row>
    <row r="592" spans="6:6">
      <c r="F592"/>
    </row>
    <row r="593" spans="6:6">
      <c r="F593"/>
    </row>
    <row r="594" spans="6:6">
      <c r="F594"/>
    </row>
    <row r="595" spans="6:6">
      <c r="F595"/>
    </row>
    <row r="596" spans="6:6">
      <c r="F596"/>
    </row>
    <row r="597" spans="6:6">
      <c r="F597"/>
    </row>
    <row r="598" spans="6:6">
      <c r="F598"/>
    </row>
    <row r="599" spans="6:6">
      <c r="F599"/>
    </row>
    <row r="600" spans="6:6">
      <c r="F600"/>
    </row>
    <row r="601" spans="6:6">
      <c r="F601"/>
    </row>
    <row r="602" spans="6:6">
      <c r="F602"/>
    </row>
    <row r="603" spans="6:6">
      <c r="F603"/>
    </row>
    <row r="604" spans="6:6">
      <c r="F604"/>
    </row>
    <row r="605" spans="6:6">
      <c r="F605"/>
    </row>
    <row r="606" spans="6:6">
      <c r="F606"/>
    </row>
    <row r="607" spans="6:6">
      <c r="F607"/>
    </row>
    <row r="608" spans="6:6">
      <c r="F608"/>
    </row>
    <row r="609" spans="6:6">
      <c r="F609"/>
    </row>
    <row r="610" spans="6:6">
      <c r="F610"/>
    </row>
    <row r="611" spans="6:6">
      <c r="F611"/>
    </row>
    <row r="612" spans="6:6">
      <c r="F612"/>
    </row>
    <row r="613" spans="6:6">
      <c r="F613"/>
    </row>
    <row r="614" spans="6:6">
      <c r="F614"/>
    </row>
    <row r="615" spans="6:6">
      <c r="F615"/>
    </row>
    <row r="616" spans="6:6">
      <c r="F616"/>
    </row>
    <row r="617" spans="6:6">
      <c r="F617"/>
    </row>
    <row r="618" spans="6:6">
      <c r="F618"/>
    </row>
    <row r="619" spans="6:6">
      <c r="F619"/>
    </row>
    <row r="620" spans="6:6">
      <c r="F620"/>
    </row>
    <row r="621" spans="6:6">
      <c r="F621"/>
    </row>
    <row r="622" spans="6:6">
      <c r="F622"/>
    </row>
    <row r="623" spans="6:6">
      <c r="F623"/>
    </row>
    <row r="624" spans="6:6">
      <c r="F624"/>
    </row>
    <row r="625" spans="6:6">
      <c r="F625"/>
    </row>
    <row r="626" spans="6:6">
      <c r="F626"/>
    </row>
    <row r="627" spans="6:6">
      <c r="F627"/>
    </row>
    <row r="628" spans="6:6">
      <c r="F628"/>
    </row>
    <row r="629" spans="6:6">
      <c r="F629"/>
    </row>
    <row r="630" spans="6:6">
      <c r="F630"/>
    </row>
    <row r="631" spans="6:6">
      <c r="F631"/>
    </row>
    <row r="632" spans="6:6">
      <c r="F632"/>
    </row>
    <row r="633" spans="6:6">
      <c r="F633"/>
    </row>
    <row r="634" spans="6:6">
      <c r="F634"/>
    </row>
    <row r="635" spans="6:6">
      <c r="F635"/>
    </row>
    <row r="636" spans="6:6">
      <c r="F636"/>
    </row>
    <row r="637" spans="6:6">
      <c r="F637"/>
    </row>
    <row r="638" spans="6:6">
      <c r="F638"/>
    </row>
    <row r="639" spans="6:6">
      <c r="F639"/>
    </row>
    <row r="640" spans="6:6">
      <c r="F640"/>
    </row>
    <row r="641" spans="6:6">
      <c r="F641"/>
    </row>
    <row r="642" spans="6:6">
      <c r="F642"/>
    </row>
    <row r="643" spans="6:6">
      <c r="F643"/>
    </row>
    <row r="644" spans="6:6">
      <c r="F644"/>
    </row>
    <row r="645" spans="6:6">
      <c r="F645"/>
    </row>
    <row r="646" spans="6:6">
      <c r="F646"/>
    </row>
    <row r="647" spans="6:6">
      <c r="F647"/>
    </row>
    <row r="648" spans="6:6">
      <c r="F648"/>
    </row>
    <row r="649" spans="6:6">
      <c r="F649"/>
    </row>
    <row r="650" spans="6:6">
      <c r="F650"/>
    </row>
    <row r="651" spans="6:6">
      <c r="F651"/>
    </row>
    <row r="652" spans="6:6">
      <c r="F652"/>
    </row>
    <row r="653" spans="6:6">
      <c r="F653"/>
    </row>
    <row r="654" spans="6:6">
      <c r="F654"/>
    </row>
    <row r="655" spans="6:6">
      <c r="F655"/>
    </row>
    <row r="656" spans="6:6">
      <c r="F656"/>
    </row>
    <row r="657" spans="6:6">
      <c r="F657"/>
    </row>
    <row r="658" spans="6:6">
      <c r="F658"/>
    </row>
    <row r="659" spans="6:6">
      <c r="F659"/>
    </row>
    <row r="660" spans="6:6">
      <c r="F660"/>
    </row>
    <row r="661" spans="6:6">
      <c r="F661"/>
    </row>
    <row r="662" spans="6:6">
      <c r="F662"/>
    </row>
    <row r="663" spans="6:6">
      <c r="F663"/>
    </row>
    <row r="664" spans="6:6">
      <c r="F664"/>
    </row>
    <row r="665" spans="6:6">
      <c r="F665"/>
    </row>
    <row r="666" spans="6:6">
      <c r="F666"/>
    </row>
    <row r="667" spans="6:6">
      <c r="F667"/>
    </row>
    <row r="668" spans="6:6">
      <c r="F668"/>
    </row>
    <row r="669" spans="6:6">
      <c r="F669"/>
    </row>
    <row r="670" spans="6:6">
      <c r="F670"/>
    </row>
    <row r="671" spans="6:6">
      <c r="F671"/>
    </row>
    <row r="672" spans="6:6">
      <c r="F672"/>
    </row>
    <row r="673" spans="6:6">
      <c r="F673"/>
    </row>
    <row r="674" spans="6:6">
      <c r="F674"/>
    </row>
    <row r="675" spans="6:6">
      <c r="F675"/>
    </row>
    <row r="676" spans="6:6">
      <c r="F676"/>
    </row>
    <row r="677" spans="6:6">
      <c r="F677"/>
    </row>
    <row r="678" spans="6:6">
      <c r="F678"/>
    </row>
    <row r="679" spans="6:6">
      <c r="F679"/>
    </row>
    <row r="680" spans="6:6">
      <c r="F680"/>
    </row>
    <row r="681" spans="6:6">
      <c r="F681"/>
    </row>
    <row r="682" spans="6:6">
      <c r="F682"/>
    </row>
    <row r="683" spans="6:6">
      <c r="F683"/>
    </row>
    <row r="684" spans="6:6">
      <c r="F684"/>
    </row>
    <row r="685" spans="6:6">
      <c r="F685"/>
    </row>
    <row r="686" spans="6:6">
      <c r="F686"/>
    </row>
    <row r="687" spans="6:6">
      <c r="F687"/>
    </row>
    <row r="688" spans="6:6">
      <c r="F688"/>
    </row>
    <row r="689" spans="6:6">
      <c r="F689"/>
    </row>
    <row r="690" spans="6:6">
      <c r="F690"/>
    </row>
    <row r="691" spans="6:6">
      <c r="F691"/>
    </row>
    <row r="692" spans="6:6">
      <c r="F692"/>
    </row>
    <row r="693" spans="6:6">
      <c r="F693"/>
    </row>
    <row r="694" spans="6:6">
      <c r="F694"/>
    </row>
    <row r="695" spans="6:6">
      <c r="F695"/>
    </row>
    <row r="696" spans="6:6">
      <c r="F696"/>
    </row>
    <row r="697" spans="6:6">
      <c r="F697"/>
    </row>
    <row r="698" spans="6:6">
      <c r="F698"/>
    </row>
    <row r="699" spans="6:6">
      <c r="F699"/>
    </row>
    <row r="700" spans="6:6">
      <c r="F700"/>
    </row>
    <row r="701" spans="6:6">
      <c r="F701"/>
    </row>
    <row r="702" spans="6:6">
      <c r="F702"/>
    </row>
    <row r="703" spans="6:6">
      <c r="F703"/>
    </row>
    <row r="704" spans="6:6">
      <c r="F704"/>
    </row>
    <row r="705" spans="6:6">
      <c r="F705"/>
    </row>
    <row r="706" spans="6:6">
      <c r="F706"/>
    </row>
    <row r="707" spans="6:6">
      <c r="F707"/>
    </row>
    <row r="708" spans="6:6">
      <c r="F708"/>
    </row>
    <row r="709" spans="6:6">
      <c r="F709"/>
    </row>
    <row r="710" spans="6:6">
      <c r="F710"/>
    </row>
    <row r="711" spans="6:6">
      <c r="F711"/>
    </row>
    <row r="712" spans="6:6">
      <c r="F712"/>
    </row>
    <row r="713" spans="6:6">
      <c r="F713"/>
    </row>
    <row r="714" spans="6:6">
      <c r="F714"/>
    </row>
    <row r="715" spans="6:6">
      <c r="F715"/>
    </row>
    <row r="716" spans="6:6">
      <c r="F716"/>
    </row>
    <row r="717" spans="6:6">
      <c r="F717"/>
    </row>
    <row r="718" spans="6:6">
      <c r="F718"/>
    </row>
    <row r="719" spans="6:6">
      <c r="F719"/>
    </row>
    <row r="720" spans="6:6">
      <c r="F720"/>
    </row>
    <row r="721" spans="6:6">
      <c r="F721"/>
    </row>
    <row r="722" spans="6:6">
      <c r="F722"/>
    </row>
    <row r="723" spans="6:6">
      <c r="F723"/>
    </row>
    <row r="724" spans="6:6">
      <c r="F724"/>
    </row>
    <row r="725" spans="6:6">
      <c r="F725"/>
    </row>
    <row r="726" spans="6:6">
      <c r="F726"/>
    </row>
    <row r="727" spans="6:6">
      <c r="F727"/>
    </row>
    <row r="728" spans="6:6">
      <c r="F728"/>
    </row>
    <row r="729" spans="6:6">
      <c r="F729"/>
    </row>
    <row r="730" spans="6:6">
      <c r="F730"/>
    </row>
    <row r="731" spans="6:6">
      <c r="F731"/>
    </row>
    <row r="732" spans="6:6">
      <c r="F732"/>
    </row>
    <row r="733" spans="6:6">
      <c r="F733"/>
    </row>
    <row r="734" spans="6:6">
      <c r="F734"/>
    </row>
    <row r="735" spans="6:6">
      <c r="F735"/>
    </row>
    <row r="736" spans="6:6">
      <c r="F736"/>
    </row>
    <row r="737" spans="6:6">
      <c r="F737"/>
    </row>
    <row r="738" spans="6:6">
      <c r="F738"/>
    </row>
    <row r="739" spans="6:6">
      <c r="F739"/>
    </row>
    <row r="740" spans="6:6">
      <c r="F740"/>
    </row>
    <row r="741" spans="6:6">
      <c r="F741"/>
    </row>
    <row r="742" spans="6:6">
      <c r="F742"/>
    </row>
    <row r="743" spans="6:6">
      <c r="F743"/>
    </row>
    <row r="744" spans="6:6">
      <c r="F744"/>
    </row>
    <row r="745" spans="6:6">
      <c r="F745"/>
    </row>
    <row r="746" spans="6:6">
      <c r="F746"/>
    </row>
    <row r="747" spans="6:6">
      <c r="F747"/>
    </row>
    <row r="748" spans="6:6">
      <c r="F748"/>
    </row>
    <row r="749" spans="6:6">
      <c r="F749"/>
    </row>
    <row r="750" spans="6:6">
      <c r="F750"/>
    </row>
    <row r="751" spans="6:6">
      <c r="F751"/>
    </row>
    <row r="752" spans="6:6">
      <c r="F752"/>
    </row>
    <row r="753" spans="6:6">
      <c r="F753"/>
    </row>
    <row r="754" spans="6:6">
      <c r="F754"/>
    </row>
    <row r="755" spans="6:6">
      <c r="F755"/>
    </row>
    <row r="756" spans="6:6">
      <c r="F756"/>
    </row>
    <row r="757" spans="6:6">
      <c r="F757"/>
    </row>
    <row r="758" spans="6:6">
      <c r="F758"/>
    </row>
    <row r="759" spans="6:6">
      <c r="F759"/>
    </row>
    <row r="760" spans="6:6">
      <c r="F760"/>
    </row>
    <row r="761" spans="6:6">
      <c r="F761"/>
    </row>
    <row r="762" spans="6:6">
      <c r="F762"/>
    </row>
    <row r="763" spans="6:6">
      <c r="F763"/>
    </row>
    <row r="764" spans="6:6">
      <c r="F764"/>
    </row>
    <row r="765" spans="6:6">
      <c r="F765"/>
    </row>
  </sheetData>
  <sheetProtection formatCells="0" formatColumns="0" formatRows="0" insertRows="0" insertColumns="0" insertHyperlinks="0" deleteColumns="0" deleteRows="0" sort="0" autoFilter="0" pivotTables="0"/>
  <mergeCells count="1">
    <mergeCell ref="A1:C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zoomScale="130" zoomScaleNormal="130" workbookViewId="0">
      <selection activeCell="D24" sqref="D24"/>
    </sheetView>
  </sheetViews>
  <sheetFormatPr defaultColWidth="9" defaultRowHeight="14.25" outlineLevelCol="5"/>
  <cols>
    <col min="1" max="1" width="18.9333333333333" customWidth="1"/>
    <col min="2" max="2" width="17.0666666666667" customWidth="1"/>
    <col min="3" max="4" width="16.7333333333333" customWidth="1"/>
    <col min="5" max="5" width="16.6" customWidth="1"/>
  </cols>
  <sheetData>
    <row r="1" ht="30" spans="1:6">
      <c r="A1" s="2" t="s">
        <v>167</v>
      </c>
      <c r="B1" s="2"/>
      <c r="C1" s="2"/>
      <c r="D1" s="2"/>
      <c r="E1" s="2"/>
      <c r="F1" s="2"/>
    </row>
    <row r="2" spans="1:6">
      <c r="A2" t="s">
        <v>168</v>
      </c>
    </row>
    <row r="4" s="1" customFormat="1" spans="1:6">
      <c r="A4" s="1" t="s">
        <v>134</v>
      </c>
      <c r="B4" s="1" t="s">
        <v>135</v>
      </c>
      <c r="C4" s="1" t="s">
        <v>169</v>
      </c>
      <c r="D4" s="1" t="s">
        <v>170</v>
      </c>
      <c r="E4" s="1" t="s">
        <v>171</v>
      </c>
      <c r="F4" s="1" t="s">
        <v>136</v>
      </c>
    </row>
    <row r="5" spans="1:6">
      <c r="A5" s="3"/>
      <c r="B5" s="4"/>
    </row>
    <row r="6" spans="1:6">
      <c r="B6" s="4"/>
    </row>
    <row r="7" spans="1:6">
      <c r="A7" s="3"/>
      <c r="B7" s="4"/>
    </row>
    <row r="8" ht="14.55" customHeight="1" spans="1:6">
      <c r="B8" s="4"/>
    </row>
    <row r="13" spans="1:6">
      <c r="A13" s="1" t="s">
        <v>31</v>
      </c>
    </row>
    <row r="14" spans="1:6">
      <c r="A14" t="s">
        <v>134</v>
      </c>
      <c r="B14" t="s">
        <v>135</v>
      </c>
      <c r="C14" t="s">
        <v>169</v>
      </c>
      <c r="D14" t="s">
        <v>170</v>
      </c>
      <c r="E14" t="s">
        <v>171</v>
      </c>
      <c r="F14" t="s">
        <v>136</v>
      </c>
    </row>
    <row r="15" spans="1:6">
      <c r="A15" s="5" t="s">
        <v>172</v>
      </c>
      <c r="B15" s="5" t="s">
        <v>173</v>
      </c>
      <c r="F15" s="5" t="s">
        <v>174</v>
      </c>
    </row>
    <row r="16" spans="1:6">
      <c r="A16" s="5" t="s">
        <v>175</v>
      </c>
      <c r="B16" s="5" t="s">
        <v>176</v>
      </c>
      <c r="F16" s="5" t="s">
        <v>177</v>
      </c>
    </row>
    <row r="17" spans="1:6">
      <c r="A17" s="5" t="s">
        <v>178</v>
      </c>
      <c r="B17" s="5" t="s">
        <v>179</v>
      </c>
      <c r="F17" s="5" t="s">
        <v>180</v>
      </c>
    </row>
    <row r="18" spans="1:6">
      <c r="A18" s="5" t="s">
        <v>181</v>
      </c>
      <c r="B18" s="5" t="s">
        <v>182</v>
      </c>
      <c r="F18" s="5" t="s">
        <v>183</v>
      </c>
    </row>
    <row r="19" spans="1:6">
      <c r="A19" s="5" t="s">
        <v>172</v>
      </c>
      <c r="B19" s="5" t="s">
        <v>173</v>
      </c>
      <c r="C19" s="5" t="s">
        <v>178</v>
      </c>
      <c r="D19" s="5" t="s">
        <v>179</v>
      </c>
      <c r="F19" t="s">
        <v>184</v>
      </c>
    </row>
    <row r="20" spans="1:6">
      <c r="A20" s="5" t="s">
        <v>175</v>
      </c>
      <c r="B20" s="5" t="s">
        <v>176</v>
      </c>
      <c r="C20" s="5" t="s">
        <v>181</v>
      </c>
      <c r="D20" s="5" t="s">
        <v>182</v>
      </c>
      <c r="F20" t="s">
        <v>185</v>
      </c>
    </row>
    <row r="21" spans="1:6">
      <c r="A21" t="s">
        <v>186</v>
      </c>
    </row>
    <row r="22" spans="1:6">
      <c r="A22" s="6" t="s">
        <v>67</v>
      </c>
      <c r="B22" s="6" t="s">
        <v>68</v>
      </c>
      <c r="C22" s="7" t="s">
        <v>69</v>
      </c>
    </row>
    <row r="23" spans="1:6">
      <c r="A23" s="6" t="s">
        <v>71</v>
      </c>
      <c r="B23" s="6" t="s">
        <v>72</v>
      </c>
      <c r="C23" s="7" t="s">
        <v>73</v>
      </c>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8">
    <commentChains s:ref="A4" rgbClr="FF0000">
      <unresolved>
        <commentChain chainId="881a1db95715d1192fcbbbfbec7bff6967c873bb">
          <item id="9cdf313217d86ad0f65646e40020a8a7841e7bef" isNormal="1">
            <s:text>
              <s:r>
                <s:t xml:space="preserve">Yong-Xin Liu:
样品名，必须以字母开头，可包括数字，名称唯一，推荐使用大小字或数字间隔的驼峰式写法方便阅读</s:t>
              </s:r>
            </s:text>
          </item>
        </commentChain>
      </unresolved>
      <resolved/>
    </commentChains>
    <commentChains s:ref="C4" rgbClr="FF0000">
      <unresolved>
        <commentChain chainId="d0a2b54edc33b9e387b11baa3a68d4da4dfef5bc">
          <item id="19c8569e10687189ac561c44cc67a026bf64cc32" isNormal="1">
            <s:text>
              <s:r>
                <s:t xml:space="preserve">Yong-Xin Liu:
样品分组名，要包括实验所有变量的组合</s:t>
              </s:r>
            </s:text>
          </item>
        </commentChain>
      </unresolved>
      <resolved/>
    </commentChains>
  </commentList>
</comments>
</file>

<file path=customXml/item2.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sProps>
  <woBookProps>
    <bookSettings fileId="460549509736"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4"/>
  <pixelatorList sheetStid="8"/>
  <pixelatorList sheetStid="2"/>
  <pixelatorList sheetStid="3"/>
  <pixelatorList sheetStid="9"/>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Microsoft</Company>
  <Application>WPS Office WWO_wpscloud_20251023191926-c3cb9a6fbd</Application>
  <HeadingPairs>
    <vt:vector size="2" baseType="variant">
      <vt:variant>
        <vt:lpstr>工作表</vt:lpstr>
      </vt:variant>
      <vt:variant>
        <vt:i4>4</vt:i4>
      </vt:variant>
    </vt:vector>
  </HeadingPairs>
  <TitlesOfParts>
    <vt:vector size="4" baseType="lpstr">
      <vt:lpstr>summary</vt:lpstr>
      <vt:lpstr>metadata</vt:lpstr>
      <vt:lpstr>compare</vt:lpstr>
      <vt:lpstr>venn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实验设计模板</dc:title>
  <dc:creator>刘永鑫</dc:creator>
  <cp:keywords>LiuLab</cp:keywords>
  <cp:lastModifiedBy>Yong-Xin Liu</cp:lastModifiedBy>
  <dcterms:created xsi:type="dcterms:W3CDTF">2017-06-13T13:10:00Z</dcterms:created>
  <cp:lastPrinted>2017-11-22T09:40:00Z</cp:lastPrinted>
  <dcterms:modified xsi:type="dcterms:W3CDTF">2025-10-21T16:37:00Z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2052-12.9.0.23551</vt:lpwstr>
  </property>
</Properties>
</file>